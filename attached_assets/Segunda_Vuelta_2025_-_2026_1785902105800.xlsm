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My Drive\Torneo Socorro sub 40\Torneo Socorro 2026-2027\"/>
    </mc:Choice>
  </mc:AlternateContent>
  <bookViews>
    <workbookView xWindow="-105" yWindow="-105" windowWidth="23250" windowHeight="12450" firstSheet="1" activeTab="6"/>
  </bookViews>
  <sheets>
    <sheet name="Tabla de Posiciones" sheetId="1" state="hidden" r:id="rId1"/>
    <sheet name="Segunda Vuelta" sheetId="11" r:id="rId2"/>
    <sheet name="Liguilla" sheetId="12" r:id="rId3"/>
    <sheet name="Para Cuadrar" sheetId="10" r:id="rId4"/>
    <sheet name="Resultados" sheetId="3" r:id="rId5"/>
    <sheet name="Posiciones y Vallas" sheetId="9" r:id="rId6"/>
    <sheet name="Parametros" sheetId="5" r:id="rId7"/>
    <sheet name="Posiciones Auxiliar" sheetId="6" state="hidden" r:id="rId8"/>
    <sheet name="Resultados Auxiliar" sheetId="8" state="hidden" r:id="rId9"/>
  </sheets>
  <externalReferences>
    <externalReference r:id="rId10"/>
  </externalReferences>
  <definedNames>
    <definedName name="_xleta.T" hidden="1" xlm="1">#NAME?</definedName>
    <definedName name="Partido_empatado">Parametros!$B$3</definedName>
    <definedName name="Partido_ganado">Parametros!$B$2</definedName>
    <definedName name="Partido_perdido">Parametros!$B$4</definedName>
    <definedName name="Posiciones_Auxiliar" localSheetId="1">'[1]Posiciones Auxiliar'!$A$3:$Z$42</definedName>
    <definedName name="Posiciones_Auxiliar">'Posiciones Auxiliar'!$A$3:$Z$42</definedName>
    <definedName name="resultado">IF(ISBLANK(Resultados!B1),"",EVALUATE(Resultados!B1))</definedName>
    <definedName name="rngVisitante">INDEX(Resultados!$C$3:$AO$42,,ROW()-2)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6" l="1"/>
  <c r="P8" i="9" l="1"/>
  <c r="AD10" i="9" l="1"/>
  <c r="J8" i="12"/>
  <c r="J7" i="12"/>
  <c r="M21" i="8" l="1"/>
  <c r="M15" i="8"/>
  <c r="N7" i="11" l="1"/>
  <c r="B7" i="11"/>
  <c r="W10" i="10" l="1"/>
  <c r="W11" i="10"/>
  <c r="W12" i="10"/>
  <c r="W13" i="10"/>
  <c r="W14" i="10"/>
  <c r="W15" i="10"/>
  <c r="W16" i="10"/>
  <c r="W17" i="10"/>
  <c r="W18" i="10"/>
  <c r="B8" i="10" l="1"/>
  <c r="B8" i="9" l="1"/>
  <c r="H42" i="6" l="1" a="1"/>
  <c r="H42" i="6" s="1"/>
  <c r="G42" i="6" a="1"/>
  <c r="G42" i="6" s="1"/>
  <c r="AO42" i="8"/>
  <c r="AN42" i="8"/>
  <c r="AM42" i="8"/>
  <c r="AL42" i="8"/>
  <c r="AK42" i="8"/>
  <c r="AJ42" i="8"/>
  <c r="AI42" i="8"/>
  <c r="AH42" i="8"/>
  <c r="AG42" i="8"/>
  <c r="AF42" i="8"/>
  <c r="AE42" i="8"/>
  <c r="AD42" i="8"/>
  <c r="AC42" i="8"/>
  <c r="AB42" i="8"/>
  <c r="AA42" i="8"/>
  <c r="Z42" i="8"/>
  <c r="Y42" i="8"/>
  <c r="X42" i="8"/>
  <c r="W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B42" i="8"/>
  <c r="C42" i="6"/>
  <c r="H41" i="6" a="1"/>
  <c r="H41" i="6" s="1"/>
  <c r="G41" i="6" a="1"/>
  <c r="G41" i="6" s="1"/>
  <c r="AO41" i="8"/>
  <c r="AN41" i="8"/>
  <c r="AM41" i="8"/>
  <c r="AL41" i="8"/>
  <c r="AK41" i="8"/>
  <c r="AJ41" i="8"/>
  <c r="AI41" i="8"/>
  <c r="AH41" i="8"/>
  <c r="AG41" i="8"/>
  <c r="AF41" i="8"/>
  <c r="AE41" i="8"/>
  <c r="AD41" i="8"/>
  <c r="AC41" i="8"/>
  <c r="AB41" i="8"/>
  <c r="AA41" i="8"/>
  <c r="Z41" i="8"/>
  <c r="Y41" i="8"/>
  <c r="X41" i="8"/>
  <c r="W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B41" i="8"/>
  <c r="C41" i="6"/>
  <c r="H40" i="6" a="1"/>
  <c r="H40" i="6" s="1"/>
  <c r="G40" i="6" a="1"/>
  <c r="G40" i="6" s="1"/>
  <c r="AO40" i="8"/>
  <c r="AN40" i="8"/>
  <c r="AM40" i="8"/>
  <c r="AL40" i="8"/>
  <c r="AK40" i="8"/>
  <c r="AJ40" i="8"/>
  <c r="AI40" i="8"/>
  <c r="AH40" i="8"/>
  <c r="AG40" i="8"/>
  <c r="AF40" i="8"/>
  <c r="AE40" i="8"/>
  <c r="AD40" i="8"/>
  <c r="AC40" i="8"/>
  <c r="AB40" i="8"/>
  <c r="AA40" i="8"/>
  <c r="Z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B40" i="8"/>
  <c r="C40" i="6"/>
  <c r="H39" i="6" a="1"/>
  <c r="H39" i="6" s="1"/>
  <c r="G39" i="6" a="1"/>
  <c r="G39" i="6" s="1"/>
  <c r="AO39" i="8"/>
  <c r="AN39" i="8"/>
  <c r="AM39" i="8"/>
  <c r="AL39" i="8"/>
  <c r="AK39" i="8"/>
  <c r="AJ39" i="8"/>
  <c r="AI39" i="8"/>
  <c r="AH39" i="8"/>
  <c r="AG3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B39" i="8"/>
  <c r="C39" i="6"/>
  <c r="H38" i="6" a="1"/>
  <c r="H38" i="6" s="1"/>
  <c r="G38" i="6" a="1"/>
  <c r="G38" i="6" s="1"/>
  <c r="AO38" i="8"/>
  <c r="AN38" i="8"/>
  <c r="AM38" i="8"/>
  <c r="AL38" i="8"/>
  <c r="AK38" i="8"/>
  <c r="AJ38" i="8"/>
  <c r="AI38" i="8"/>
  <c r="AH38" i="8"/>
  <c r="AG38" i="8"/>
  <c r="AF38" i="8"/>
  <c r="AE38" i="8"/>
  <c r="AD38" i="8"/>
  <c r="AC38" i="8"/>
  <c r="AB38" i="8"/>
  <c r="AA38" i="8"/>
  <c r="Z38" i="8"/>
  <c r="Y38" i="8"/>
  <c r="X38" i="8"/>
  <c r="W38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B38" i="8"/>
  <c r="C38" i="6"/>
  <c r="H37" i="6" a="1"/>
  <c r="H37" i="6" s="1"/>
  <c r="G37" i="6" a="1"/>
  <c r="G37" i="6" s="1"/>
  <c r="AO37" i="8"/>
  <c r="AN37" i="8"/>
  <c r="AM37" i="8"/>
  <c r="AL37" i="8"/>
  <c r="AK37" i="8"/>
  <c r="AJ37" i="8"/>
  <c r="AI37" i="8"/>
  <c r="AH37" i="8"/>
  <c r="AG37" i="8"/>
  <c r="AF37" i="8"/>
  <c r="AE37" i="8"/>
  <c r="AD37" i="8"/>
  <c r="AC37" i="8"/>
  <c r="AB37" i="8"/>
  <c r="AA37" i="8"/>
  <c r="Z37" i="8"/>
  <c r="Y37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B37" i="8"/>
  <c r="C37" i="6"/>
  <c r="H36" i="6" a="1"/>
  <c r="H36" i="6" s="1"/>
  <c r="G36" i="6" a="1"/>
  <c r="G36" i="6" s="1"/>
  <c r="AO36" i="8"/>
  <c r="AN36" i="8"/>
  <c r="AM36" i="8"/>
  <c r="AL36" i="8"/>
  <c r="AK36" i="8"/>
  <c r="AJ36" i="8"/>
  <c r="AI36" i="8"/>
  <c r="AH36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B36" i="8"/>
  <c r="C36" i="6"/>
  <c r="H35" i="6" a="1"/>
  <c r="H35" i="6" s="1"/>
  <c r="G35" i="6" a="1"/>
  <c r="G35" i="6" s="1"/>
  <c r="AO35" i="8"/>
  <c r="AN35" i="8"/>
  <c r="AM35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B35" i="8"/>
  <c r="C35" i="6"/>
  <c r="H34" i="6" a="1"/>
  <c r="H34" i="6" s="1"/>
  <c r="G34" i="6" a="1"/>
  <c r="G34" i="6" s="1"/>
  <c r="AO34" i="8"/>
  <c r="AN34" i="8"/>
  <c r="AM34" i="8"/>
  <c r="AL34" i="8"/>
  <c r="AK34" i="8"/>
  <c r="AJ34" i="8"/>
  <c r="AI34" i="8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B34" i="8"/>
  <c r="C34" i="6"/>
  <c r="H33" i="6" a="1"/>
  <c r="H33" i="6" s="1"/>
  <c r="G33" i="6" a="1"/>
  <c r="G33" i="6" s="1"/>
  <c r="AO33" i="8"/>
  <c r="AN33" i="8"/>
  <c r="AM33" i="8"/>
  <c r="AL33" i="8"/>
  <c r="AK33" i="8"/>
  <c r="AJ33" i="8"/>
  <c r="AI33" i="8"/>
  <c r="AH33" i="8"/>
  <c r="AG33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B33" i="8"/>
  <c r="C33" i="6"/>
  <c r="H32" i="6" a="1"/>
  <c r="H32" i="6" s="1"/>
  <c r="G32" i="6" a="1"/>
  <c r="G32" i="6" s="1"/>
  <c r="AO32" i="8"/>
  <c r="AN32" i="8"/>
  <c r="AM32" i="8"/>
  <c r="AL32" i="8"/>
  <c r="AK32" i="8"/>
  <c r="AJ32" i="8"/>
  <c r="AI32" i="8"/>
  <c r="AH32" i="8"/>
  <c r="AG32" i="8"/>
  <c r="AF32" i="8"/>
  <c r="AE32" i="8"/>
  <c r="AD32" i="8"/>
  <c r="AC32" i="8"/>
  <c r="AB32" i="8"/>
  <c r="AA32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B32" i="8"/>
  <c r="C32" i="6"/>
  <c r="H31" i="6" a="1"/>
  <c r="H31" i="6" s="1"/>
  <c r="G31" i="6" a="1"/>
  <c r="G31" i="6" s="1"/>
  <c r="AO31" i="8"/>
  <c r="AN31" i="8"/>
  <c r="AM31" i="8"/>
  <c r="AL31" i="8"/>
  <c r="AK31" i="8"/>
  <c r="AJ31" i="8"/>
  <c r="AI31" i="8"/>
  <c r="AH31" i="8"/>
  <c r="AG31" i="8"/>
  <c r="AF31" i="8"/>
  <c r="AE31" i="8"/>
  <c r="AD31" i="8"/>
  <c r="AC31" i="8"/>
  <c r="AB31" i="8"/>
  <c r="AA31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B31" i="8"/>
  <c r="C31" i="6"/>
  <c r="H30" i="6" a="1"/>
  <c r="H30" i="6" s="1"/>
  <c r="G30" i="6" a="1"/>
  <c r="G30" i="6" s="1"/>
  <c r="AO30" i="8"/>
  <c r="AN30" i="8"/>
  <c r="AM30" i="8"/>
  <c r="AL30" i="8"/>
  <c r="AK30" i="8"/>
  <c r="AJ30" i="8"/>
  <c r="AI30" i="8"/>
  <c r="AH30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B30" i="8"/>
  <c r="C30" i="6"/>
  <c r="H29" i="6" a="1"/>
  <c r="H29" i="6" s="1"/>
  <c r="G29" i="6" a="1"/>
  <c r="G29" i="6" s="1"/>
  <c r="AO29" i="8"/>
  <c r="AN29" i="8"/>
  <c r="AM29" i="8"/>
  <c r="AL29" i="8"/>
  <c r="AK29" i="8"/>
  <c r="AJ29" i="8"/>
  <c r="AI29" i="8"/>
  <c r="AH29" i="8"/>
  <c r="AG29" i="8"/>
  <c r="AF29" i="8"/>
  <c r="AE29" i="8"/>
  <c r="AD29" i="8"/>
  <c r="AC29" i="8"/>
  <c r="AB29" i="8"/>
  <c r="AA29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B29" i="8"/>
  <c r="C29" i="6"/>
  <c r="H28" i="6" a="1"/>
  <c r="H28" i="6" s="1"/>
  <c r="G28" i="6" a="1"/>
  <c r="G28" i="6" s="1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B28" i="8"/>
  <c r="C28" i="6"/>
  <c r="H27" i="6" a="1"/>
  <c r="H27" i="6" s="1"/>
  <c r="G27" i="6" a="1"/>
  <c r="G27" i="6" s="1"/>
  <c r="AO27" i="8"/>
  <c r="AN27" i="8"/>
  <c r="AM27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B27" i="8"/>
  <c r="C27" i="6"/>
  <c r="H26" i="6" a="1"/>
  <c r="H26" i="6" s="1"/>
  <c r="G26" i="6" a="1"/>
  <c r="G26" i="6" s="1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B26" i="8"/>
  <c r="C26" i="6"/>
  <c r="H25" i="6" a="1"/>
  <c r="H25" i="6" s="1"/>
  <c r="G25" i="6" a="1"/>
  <c r="G25" i="6" s="1"/>
  <c r="AO25" i="8"/>
  <c r="AN25" i="8"/>
  <c r="AM25" i="8"/>
  <c r="AL25" i="8"/>
  <c r="AK25" i="8"/>
  <c r="AJ25" i="8"/>
  <c r="AI25" i="8"/>
  <c r="AH25" i="8"/>
  <c r="AG25" i="8"/>
  <c r="AF25" i="8"/>
  <c r="AE25" i="8"/>
  <c r="AD25" i="8"/>
  <c r="AC25" i="8"/>
  <c r="AB25" i="8"/>
  <c r="AA25" i="8"/>
  <c r="Z25" i="8"/>
  <c r="Y25" i="8"/>
  <c r="X25" i="8"/>
  <c r="W25" i="8"/>
  <c r="U25" i="8"/>
  <c r="T25" i="8"/>
  <c r="R25" i="8"/>
  <c r="Q25" i="8"/>
  <c r="P25" i="8"/>
  <c r="O25" i="8"/>
  <c r="M25" i="8"/>
  <c r="L25" i="8"/>
  <c r="J25" i="8"/>
  <c r="I25" i="8"/>
  <c r="H25" i="8"/>
  <c r="G25" i="8"/>
  <c r="F25" i="8"/>
  <c r="E25" i="8"/>
  <c r="D25" i="8"/>
  <c r="C25" i="8"/>
  <c r="B25" i="8"/>
  <c r="C25" i="6"/>
  <c r="H24" i="6" a="1"/>
  <c r="H24" i="6" s="1"/>
  <c r="G24" i="6" a="1"/>
  <c r="G24" i="6" s="1"/>
  <c r="V24" i="8"/>
  <c r="U24" i="8"/>
  <c r="T24" i="8"/>
  <c r="R24" i="8"/>
  <c r="Q24" i="8"/>
  <c r="P24" i="8"/>
  <c r="O24" i="8"/>
  <c r="M24" i="8"/>
  <c r="L24" i="8"/>
  <c r="K24" i="8"/>
  <c r="J24" i="8"/>
  <c r="I24" i="8"/>
  <c r="H24" i="8"/>
  <c r="G24" i="8"/>
  <c r="F24" i="8"/>
  <c r="E24" i="8"/>
  <c r="D24" i="8"/>
  <c r="B24" i="8"/>
  <c r="W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C24" i="6"/>
  <c r="H23" i="6" a="1"/>
  <c r="H23" i="6" s="1"/>
  <c r="G23" i="6" a="1"/>
  <c r="G23" i="6" s="1"/>
  <c r="W23" i="8"/>
  <c r="U23" i="8"/>
  <c r="R23" i="8"/>
  <c r="Q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B23" i="8"/>
  <c r="V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C23" i="6"/>
  <c r="H22" i="6" a="1"/>
  <c r="H22" i="6" s="1"/>
  <c r="G22" i="6" a="1"/>
  <c r="G22" i="6" s="1"/>
  <c r="W22" i="8"/>
  <c r="V22" i="8"/>
  <c r="U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C22" i="6"/>
  <c r="H21" i="6" a="1"/>
  <c r="H21" i="6" s="1"/>
  <c r="G21" i="6" a="1"/>
  <c r="G21" i="6" s="1"/>
  <c r="W21" i="8"/>
  <c r="V21" i="8"/>
  <c r="U21" i="8"/>
  <c r="T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C21" i="6"/>
  <c r="H20" i="6" a="1"/>
  <c r="H20" i="6" s="1"/>
  <c r="G20" i="6" a="1"/>
  <c r="G20" i="6" s="1"/>
  <c r="W20" i="8"/>
  <c r="V20" i="8"/>
  <c r="U20" i="8"/>
  <c r="T20" i="8"/>
  <c r="S20" i="8"/>
  <c r="AO20" i="8"/>
  <c r="AN20" i="8"/>
  <c r="AM20" i="8"/>
  <c r="AL20" i="8"/>
  <c r="AK20" i="8"/>
  <c r="AJ20" i="8"/>
  <c r="AI20" i="8"/>
  <c r="AH20" i="8"/>
  <c r="AG20" i="8"/>
  <c r="AF20" i="8"/>
  <c r="AE20" i="8"/>
  <c r="AD20" i="8"/>
  <c r="AC20" i="8"/>
  <c r="AB20" i="8"/>
  <c r="AA20" i="8"/>
  <c r="Z20" i="8"/>
  <c r="Y20" i="8"/>
  <c r="X20" i="8"/>
  <c r="C20" i="6"/>
  <c r="H19" i="6" a="1"/>
  <c r="H19" i="6" s="1"/>
  <c r="G19" i="6" a="1"/>
  <c r="G19" i="6" s="1"/>
  <c r="W19" i="8"/>
  <c r="V19" i="8"/>
  <c r="U19" i="8"/>
  <c r="T19" i="8"/>
  <c r="S19" i="8"/>
  <c r="R19" i="8"/>
  <c r="AO19" i="8"/>
  <c r="AN19" i="8"/>
  <c r="AM19" i="8"/>
  <c r="AL19" i="8"/>
  <c r="AK19" i="8"/>
  <c r="AJ19" i="8"/>
  <c r="AI19" i="8"/>
  <c r="AH19" i="8"/>
  <c r="AG19" i="8"/>
  <c r="AF19" i="8"/>
  <c r="AE19" i="8"/>
  <c r="AD19" i="8"/>
  <c r="AC19" i="8"/>
  <c r="AB19" i="8"/>
  <c r="AA19" i="8"/>
  <c r="Z19" i="8"/>
  <c r="Y19" i="8"/>
  <c r="X19" i="8"/>
  <c r="C19" i="6"/>
  <c r="H18" i="6" a="1"/>
  <c r="H18" i="6" s="1"/>
  <c r="G18" i="6" a="1"/>
  <c r="G18" i="6" s="1"/>
  <c r="W18" i="8"/>
  <c r="V18" i="8"/>
  <c r="U18" i="8"/>
  <c r="T18" i="8"/>
  <c r="S18" i="8"/>
  <c r="R18" i="8"/>
  <c r="Q18" i="8"/>
  <c r="AO18" i="8"/>
  <c r="AN18" i="8"/>
  <c r="AM18" i="8"/>
  <c r="AL18" i="8"/>
  <c r="AK18" i="8"/>
  <c r="AJ18" i="8"/>
  <c r="AI18" i="8"/>
  <c r="AH18" i="8"/>
  <c r="AG18" i="8"/>
  <c r="AF18" i="8"/>
  <c r="AE18" i="8"/>
  <c r="AD18" i="8"/>
  <c r="AC18" i="8"/>
  <c r="AB18" i="8"/>
  <c r="AA18" i="8"/>
  <c r="Z18" i="8"/>
  <c r="Y18" i="8"/>
  <c r="X18" i="8"/>
  <c r="C18" i="6"/>
  <c r="H17" i="6" a="1"/>
  <c r="H17" i="6" s="1"/>
  <c r="G17" i="6" a="1"/>
  <c r="G17" i="6" s="1"/>
  <c r="W17" i="8"/>
  <c r="V17" i="8"/>
  <c r="U17" i="8"/>
  <c r="T17" i="8"/>
  <c r="S17" i="8"/>
  <c r="R17" i="8"/>
  <c r="Q17" i="8"/>
  <c r="P17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Z17" i="8"/>
  <c r="Y17" i="8"/>
  <c r="X17" i="8"/>
  <c r="C17" i="6"/>
  <c r="H16" i="6" a="1"/>
  <c r="H16" i="6" s="1"/>
  <c r="G16" i="6" a="1"/>
  <c r="G16" i="6" s="1"/>
  <c r="W16" i="8"/>
  <c r="V16" i="8"/>
  <c r="U16" i="8"/>
  <c r="T16" i="8"/>
  <c r="S16" i="8"/>
  <c r="R16" i="8"/>
  <c r="Q16" i="8"/>
  <c r="P16" i="8"/>
  <c r="O16" i="8"/>
  <c r="AO16" i="8"/>
  <c r="AN16" i="8"/>
  <c r="AM16" i="8"/>
  <c r="AL16" i="8"/>
  <c r="AK16" i="8"/>
  <c r="AJ16" i="8"/>
  <c r="AI16" i="8"/>
  <c r="AH16" i="8"/>
  <c r="AG16" i="8"/>
  <c r="AF16" i="8"/>
  <c r="AE16" i="8"/>
  <c r="AD16" i="8"/>
  <c r="AC16" i="8"/>
  <c r="AB16" i="8"/>
  <c r="AA16" i="8"/>
  <c r="Z16" i="8"/>
  <c r="Y16" i="8"/>
  <c r="X16" i="8"/>
  <c r="C16" i="6"/>
  <c r="H15" i="6" a="1"/>
  <c r="H15" i="6" s="1"/>
  <c r="G15" i="6" a="1"/>
  <c r="G15" i="6" s="1"/>
  <c r="W15" i="8"/>
  <c r="V15" i="8"/>
  <c r="U15" i="8"/>
  <c r="T15" i="8"/>
  <c r="S15" i="8"/>
  <c r="R15" i="8"/>
  <c r="Q15" i="8"/>
  <c r="P15" i="8"/>
  <c r="O15" i="8"/>
  <c r="N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C15" i="6"/>
  <c r="H14" i="6" a="1"/>
  <c r="H14" i="6" s="1"/>
  <c r="G14" i="6" a="1"/>
  <c r="G14" i="6" s="1"/>
  <c r="W14" i="8"/>
  <c r="V14" i="8"/>
  <c r="U14" i="8"/>
  <c r="T14" i="8"/>
  <c r="S14" i="8"/>
  <c r="R14" i="8"/>
  <c r="Q14" i="8"/>
  <c r="P14" i="8"/>
  <c r="O14" i="8"/>
  <c r="N14" i="8"/>
  <c r="M14" i="8"/>
  <c r="AO14" i="8"/>
  <c r="AN14" i="8"/>
  <c r="AM14" i="8"/>
  <c r="AL14" i="8"/>
  <c r="AK14" i="8"/>
  <c r="AJ14" i="8"/>
  <c r="AI14" i="8"/>
  <c r="AH14" i="8"/>
  <c r="AG14" i="8"/>
  <c r="AF14" i="8"/>
  <c r="AE14" i="8"/>
  <c r="AD14" i="8"/>
  <c r="AC14" i="8"/>
  <c r="AB14" i="8"/>
  <c r="AA14" i="8"/>
  <c r="Z14" i="8"/>
  <c r="Y14" i="8"/>
  <c r="X14" i="8"/>
  <c r="C14" i="6"/>
  <c r="H13" i="6" a="1"/>
  <c r="H13" i="6" s="1"/>
  <c r="G13" i="6" a="1"/>
  <c r="G13" i="6" s="1"/>
  <c r="W13" i="8"/>
  <c r="V13" i="8"/>
  <c r="U13" i="8"/>
  <c r="T13" i="8"/>
  <c r="S13" i="8"/>
  <c r="R13" i="8"/>
  <c r="Q13" i="8"/>
  <c r="P13" i="8"/>
  <c r="O13" i="8"/>
  <c r="N13" i="8"/>
  <c r="M13" i="8"/>
  <c r="L13" i="8"/>
  <c r="AO13" i="8"/>
  <c r="AN13" i="8"/>
  <c r="AM13" i="8"/>
  <c r="AL13" i="8"/>
  <c r="AK13" i="8"/>
  <c r="AJ13" i="8"/>
  <c r="AI13" i="8"/>
  <c r="AH13" i="8"/>
  <c r="AG13" i="8"/>
  <c r="AF13" i="8"/>
  <c r="AE13" i="8"/>
  <c r="AD13" i="8"/>
  <c r="AC13" i="8"/>
  <c r="AB13" i="8"/>
  <c r="AA13" i="8"/>
  <c r="Z13" i="8"/>
  <c r="Y13" i="8"/>
  <c r="X13" i="8"/>
  <c r="C13" i="6"/>
  <c r="H12" i="6" a="1"/>
  <c r="H12" i="6" s="1"/>
  <c r="G12" i="6" a="1"/>
  <c r="G12" i="6" s="1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AO12" i="8"/>
  <c r="AN12" i="8"/>
  <c r="AM12" i="8"/>
  <c r="AL12" i="8"/>
  <c r="AK12" i="8"/>
  <c r="AJ12" i="8"/>
  <c r="AI12" i="8"/>
  <c r="AH12" i="8"/>
  <c r="AG12" i="8"/>
  <c r="AF12" i="8"/>
  <c r="AE12" i="8"/>
  <c r="AD12" i="8"/>
  <c r="AC12" i="8"/>
  <c r="AB12" i="8"/>
  <c r="AA12" i="8"/>
  <c r="Z12" i="8"/>
  <c r="Y12" i="8"/>
  <c r="X12" i="8"/>
  <c r="C12" i="6"/>
  <c r="H11" i="6" a="1"/>
  <c r="H11" i="6" s="1"/>
  <c r="G11" i="6" a="1"/>
  <c r="G11" i="6" s="1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AO11" i="8"/>
  <c r="AN11" i="8"/>
  <c r="AM11" i="8"/>
  <c r="AL11" i="8"/>
  <c r="AK11" i="8"/>
  <c r="AJ11" i="8"/>
  <c r="AI11" i="8"/>
  <c r="AH11" i="8"/>
  <c r="AG11" i="8"/>
  <c r="AF11" i="8"/>
  <c r="AE11" i="8"/>
  <c r="AD11" i="8"/>
  <c r="AC11" i="8"/>
  <c r="AB11" i="8"/>
  <c r="AA11" i="8"/>
  <c r="Z11" i="8"/>
  <c r="Y11" i="8"/>
  <c r="X11" i="8"/>
  <c r="C11" i="6"/>
  <c r="H10" i="6" a="1"/>
  <c r="H10" i="6" s="1"/>
  <c r="G10" i="6" a="1"/>
  <c r="G10" i="6" s="1"/>
  <c r="W10" i="8"/>
  <c r="V10" i="8"/>
  <c r="U10" i="8"/>
  <c r="T10" i="8"/>
  <c r="S10" i="8"/>
  <c r="R10" i="8"/>
  <c r="Q10" i="8"/>
  <c r="P10" i="8"/>
  <c r="O10" i="8"/>
  <c r="N10" i="8"/>
  <c r="M10" i="8"/>
  <c r="L10" i="8"/>
  <c r="J10" i="8"/>
  <c r="I10" i="8"/>
  <c r="AO10" i="8"/>
  <c r="AN10" i="8"/>
  <c r="AM10" i="8"/>
  <c r="AL10" i="8"/>
  <c r="AK10" i="8"/>
  <c r="AJ10" i="8"/>
  <c r="AI10" i="8"/>
  <c r="AH10" i="8"/>
  <c r="AG10" i="8"/>
  <c r="AF10" i="8"/>
  <c r="AE10" i="8"/>
  <c r="AD10" i="8"/>
  <c r="AC10" i="8"/>
  <c r="AB10" i="8"/>
  <c r="AA10" i="8"/>
  <c r="Z10" i="8"/>
  <c r="Y10" i="8"/>
  <c r="X10" i="8"/>
  <c r="C10" i="6"/>
  <c r="H9" i="6" a="1"/>
  <c r="H9" i="6" s="1"/>
  <c r="G9" i="6" a="1"/>
  <c r="G9" i="6" s="1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C9" i="6"/>
  <c r="H8" i="6" a="1"/>
  <c r="H8" i="6" s="1"/>
  <c r="G8" i="6" a="1"/>
  <c r="G8" i="6" s="1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AO8" i="8"/>
  <c r="AN8" i="8"/>
  <c r="AM8" i="8"/>
  <c r="AL8" i="8"/>
  <c r="AK8" i="8"/>
  <c r="AJ8" i="8"/>
  <c r="AI8" i="8"/>
  <c r="AH8" i="8"/>
  <c r="AG8" i="8"/>
  <c r="AF8" i="8"/>
  <c r="AE8" i="8"/>
  <c r="AD8" i="8"/>
  <c r="AC8" i="8"/>
  <c r="AB8" i="8"/>
  <c r="AA8" i="8"/>
  <c r="Z8" i="8"/>
  <c r="Y8" i="8"/>
  <c r="X8" i="8"/>
  <c r="C8" i="6"/>
  <c r="H7" i="6" a="1"/>
  <c r="H7" i="6" s="1"/>
  <c r="G7" i="6" a="1"/>
  <c r="G7" i="6" s="1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AO7" i="8"/>
  <c r="AN7" i="8"/>
  <c r="AM7" i="8"/>
  <c r="AL7" i="8"/>
  <c r="AK7" i="8"/>
  <c r="AJ7" i="8"/>
  <c r="AI7" i="8"/>
  <c r="AH7" i="8"/>
  <c r="AG7" i="8"/>
  <c r="AF7" i="8"/>
  <c r="AE7" i="8"/>
  <c r="AD7" i="8"/>
  <c r="AC7" i="8"/>
  <c r="AB7" i="8"/>
  <c r="AA7" i="8"/>
  <c r="Z7" i="8"/>
  <c r="Y7" i="8"/>
  <c r="X7" i="8"/>
  <c r="C7" i="6"/>
  <c r="H6" i="6" a="1"/>
  <c r="H6" i="6" s="1"/>
  <c r="G6" i="6" a="1"/>
  <c r="G6" i="6" s="1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AO6" i="8"/>
  <c r="AN6" i="8"/>
  <c r="AM6" i="8"/>
  <c r="AL6" i="8"/>
  <c r="AK6" i="8"/>
  <c r="AJ6" i="8"/>
  <c r="AI6" i="8"/>
  <c r="AH6" i="8"/>
  <c r="AG6" i="8"/>
  <c r="AF6" i="8"/>
  <c r="AE6" i="8"/>
  <c r="AD6" i="8"/>
  <c r="AC6" i="8"/>
  <c r="AB6" i="8"/>
  <c r="AA6" i="8"/>
  <c r="Z6" i="8"/>
  <c r="Y6" i="8"/>
  <c r="X6" i="8"/>
  <c r="C6" i="6"/>
  <c r="H5" i="6" a="1"/>
  <c r="H5" i="6" s="1"/>
  <c r="G5" i="6" a="1"/>
  <c r="G5" i="6" s="1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C5" i="6"/>
  <c r="H4" i="6" a="1"/>
  <c r="H4" i="6" s="1"/>
  <c r="G4" i="6" a="1"/>
  <c r="G4" i="6" s="1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H4" i="8"/>
  <c r="G4" i="8"/>
  <c r="F4" i="8"/>
  <c r="E4" i="8"/>
  <c r="D4" i="8"/>
  <c r="C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C4" i="6"/>
  <c r="H3" i="6" a="1"/>
  <c r="H3" i="6" s="1"/>
  <c r="G3" i="6" a="1"/>
  <c r="G3" i="6" s="1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F3" i="8"/>
  <c r="E3" i="8"/>
  <c r="D3" i="8"/>
  <c r="C3" i="8"/>
  <c r="B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C3" i="6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K42" i="6"/>
  <c r="K41" i="6"/>
  <c r="K40" i="6"/>
  <c r="K39" i="6"/>
  <c r="K38" i="6"/>
  <c r="S38" i="6" s="1"/>
  <c r="AA38" i="6" s="1"/>
  <c r="K37" i="6"/>
  <c r="S37" i="6" s="1"/>
  <c r="AA37" i="6" s="1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K3" i="6"/>
  <c r="O23" i="6" a="1"/>
  <c r="O23" i="6" s="1"/>
  <c r="P23" i="6" a="1"/>
  <c r="P23" i="6" s="1"/>
  <c r="O24" i="6" a="1"/>
  <c r="O24" i="6" s="1"/>
  <c r="P24" i="6" a="1"/>
  <c r="P24" i="6" s="1"/>
  <c r="O3" i="6" a="1"/>
  <c r="O3" i="6" s="1"/>
  <c r="P3" i="6" a="1"/>
  <c r="P3" i="6" s="1"/>
  <c r="O4" i="6" a="1"/>
  <c r="O4" i="6" s="1"/>
  <c r="P4" i="6" a="1"/>
  <c r="P4" i="6" s="1"/>
  <c r="O5" i="6" a="1"/>
  <c r="O5" i="6" s="1"/>
  <c r="P5" i="6" a="1"/>
  <c r="P5" i="6" s="1"/>
  <c r="O6" i="6" a="1"/>
  <c r="O6" i="6" s="1"/>
  <c r="P6" i="6" a="1"/>
  <c r="P6" i="6" s="1"/>
  <c r="O7" i="6" a="1"/>
  <c r="O7" i="6" s="1"/>
  <c r="P7" i="6" a="1"/>
  <c r="P7" i="6" s="1"/>
  <c r="O8" i="6" a="1"/>
  <c r="O8" i="6" s="1"/>
  <c r="P8" i="6" a="1"/>
  <c r="P8" i="6" s="1"/>
  <c r="O9" i="6" a="1"/>
  <c r="O9" i="6" s="1"/>
  <c r="P9" i="6" a="1"/>
  <c r="P9" i="6" s="1"/>
  <c r="O10" i="6" a="1"/>
  <c r="O10" i="6" s="1"/>
  <c r="P10" i="6" a="1"/>
  <c r="P10" i="6" s="1"/>
  <c r="O11" i="6" a="1"/>
  <c r="O11" i="6" s="1"/>
  <c r="P11" i="6" a="1"/>
  <c r="P11" i="6" s="1"/>
  <c r="O12" i="6" a="1"/>
  <c r="O12" i="6" s="1"/>
  <c r="P12" i="6" a="1"/>
  <c r="P12" i="6" s="1"/>
  <c r="O13" i="6" a="1"/>
  <c r="O13" i="6" s="1"/>
  <c r="P13" i="6" a="1"/>
  <c r="P13" i="6" s="1"/>
  <c r="O14" i="6" a="1"/>
  <c r="O14" i="6" s="1"/>
  <c r="P14" i="6" a="1"/>
  <c r="P14" i="6" s="1"/>
  <c r="O15" i="6" a="1"/>
  <c r="O15" i="6" s="1"/>
  <c r="P15" i="6" a="1"/>
  <c r="P15" i="6" s="1"/>
  <c r="O16" i="6" a="1"/>
  <c r="O16" i="6" s="1"/>
  <c r="P16" i="6" a="1"/>
  <c r="P16" i="6" s="1"/>
  <c r="O17" i="6" a="1"/>
  <c r="O17" i="6" s="1"/>
  <c r="P17" i="6" a="1"/>
  <c r="P17" i="6" s="1"/>
  <c r="O18" i="6" a="1"/>
  <c r="O18" i="6" s="1"/>
  <c r="P18" i="6" a="1"/>
  <c r="P18" i="6" s="1"/>
  <c r="O19" i="6" a="1"/>
  <c r="O19" i="6" s="1"/>
  <c r="P19" i="6" a="1"/>
  <c r="P19" i="6" s="1"/>
  <c r="O20" i="6" a="1"/>
  <c r="O20" i="6" s="1"/>
  <c r="P20" i="6" a="1"/>
  <c r="P20" i="6" s="1"/>
  <c r="O21" i="6" a="1"/>
  <c r="O21" i="6" s="1"/>
  <c r="P21" i="6" a="1"/>
  <c r="P21" i="6" s="1"/>
  <c r="O22" i="6" a="1"/>
  <c r="O22" i="6" s="1"/>
  <c r="P22" i="6" a="1"/>
  <c r="P22" i="6" s="1"/>
  <c r="B42" i="3"/>
  <c r="AP2" i="3" s="1"/>
  <c r="B41" i="3"/>
  <c r="AO2" i="3" s="1"/>
  <c r="B40" i="3"/>
  <c r="AN2" i="3" s="1"/>
  <c r="B39" i="3"/>
  <c r="AM2" i="3" s="1"/>
  <c r="B38" i="3"/>
  <c r="AL2" i="3" s="1"/>
  <c r="B37" i="3"/>
  <c r="AK2" i="3" s="1"/>
  <c r="B36" i="3"/>
  <c r="AJ2" i="3" s="1"/>
  <c r="B35" i="3"/>
  <c r="AI2" i="3" s="1"/>
  <c r="B34" i="3"/>
  <c r="AH2" i="3" s="1"/>
  <c r="B33" i="3"/>
  <c r="AG2" i="3" s="1"/>
  <c r="B32" i="3"/>
  <c r="AF2" i="3" s="1"/>
  <c r="B31" i="3"/>
  <c r="AE2" i="3" s="1"/>
  <c r="B30" i="3"/>
  <c r="AD2" i="3" s="1"/>
  <c r="B29" i="3"/>
  <c r="AC2" i="3" s="1"/>
  <c r="B28" i="3"/>
  <c r="AB2" i="3" s="1"/>
  <c r="B27" i="3"/>
  <c r="AA2" i="3" s="1"/>
  <c r="B26" i="3"/>
  <c r="Z2" i="3" s="1"/>
  <c r="B25" i="3"/>
  <c r="Y2" i="3" s="1"/>
  <c r="B24" i="3"/>
  <c r="X2" i="3" s="1"/>
  <c r="B23" i="3"/>
  <c r="W2" i="3" s="1"/>
  <c r="B22" i="3"/>
  <c r="V2" i="3" s="1"/>
  <c r="B21" i="3"/>
  <c r="U2" i="3" s="1"/>
  <c r="B20" i="3"/>
  <c r="T2" i="3" s="1"/>
  <c r="B19" i="3"/>
  <c r="S2" i="3" s="1"/>
  <c r="B18" i="3"/>
  <c r="R2" i="3" s="1"/>
  <c r="B17" i="3"/>
  <c r="Q2" i="3" s="1"/>
  <c r="B16" i="3"/>
  <c r="P2" i="3" s="1"/>
  <c r="B15" i="3"/>
  <c r="O2" i="3" s="1"/>
  <c r="B14" i="3"/>
  <c r="N2" i="3" s="1"/>
  <c r="B13" i="3"/>
  <c r="M2" i="3" s="1"/>
  <c r="B12" i="3"/>
  <c r="L2" i="3" s="1"/>
  <c r="B11" i="3"/>
  <c r="K2" i="3" s="1"/>
  <c r="B10" i="3"/>
  <c r="J2" i="3" s="1"/>
  <c r="B9" i="3"/>
  <c r="I2" i="3" s="1"/>
  <c r="B8" i="3"/>
  <c r="H2" i="3" s="1"/>
  <c r="B7" i="3"/>
  <c r="G2" i="3" s="1"/>
  <c r="B6" i="3"/>
  <c r="F2" i="3" s="1"/>
  <c r="B5" i="3"/>
  <c r="E2" i="3" s="1"/>
  <c r="B4" i="3"/>
  <c r="D2" i="3" s="1"/>
  <c r="B3" i="3"/>
  <c r="C2" i="3" s="1"/>
  <c r="O42" i="6" a="1"/>
  <c r="O42" i="6" s="1"/>
  <c r="P42" i="6" a="1"/>
  <c r="P42" i="6" s="1"/>
  <c r="B42" i="6"/>
  <c r="B23" i="6"/>
  <c r="B24" i="6"/>
  <c r="O25" i="6" a="1"/>
  <c r="O25" i="6" s="1"/>
  <c r="P25" i="6" a="1"/>
  <c r="P25" i="6" s="1"/>
  <c r="B25" i="6"/>
  <c r="O26" i="6" a="1"/>
  <c r="O26" i="6" s="1"/>
  <c r="P26" i="6" a="1"/>
  <c r="P26" i="6" s="1"/>
  <c r="B26" i="6"/>
  <c r="O27" i="6" a="1"/>
  <c r="O27" i="6" s="1"/>
  <c r="P27" i="6" a="1"/>
  <c r="P27" i="6" s="1"/>
  <c r="B27" i="6"/>
  <c r="O28" i="6" a="1"/>
  <c r="O28" i="6" s="1"/>
  <c r="P28" i="6" a="1"/>
  <c r="P28" i="6" s="1"/>
  <c r="B28" i="6"/>
  <c r="O29" i="6" a="1"/>
  <c r="O29" i="6" s="1"/>
  <c r="P29" i="6" a="1"/>
  <c r="P29" i="6" s="1"/>
  <c r="B29" i="6"/>
  <c r="O30" i="6" a="1"/>
  <c r="O30" i="6" s="1"/>
  <c r="P30" i="6" a="1"/>
  <c r="P30" i="6" s="1"/>
  <c r="B30" i="6"/>
  <c r="O31" i="6" a="1"/>
  <c r="O31" i="6" s="1"/>
  <c r="P31" i="6" a="1"/>
  <c r="P31" i="6" s="1"/>
  <c r="B31" i="6"/>
  <c r="O32" i="6" a="1"/>
  <c r="O32" i="6" s="1"/>
  <c r="P32" i="6" a="1"/>
  <c r="P32" i="6" s="1"/>
  <c r="B32" i="6"/>
  <c r="O33" i="6" a="1"/>
  <c r="O33" i="6" s="1"/>
  <c r="P33" i="6" a="1"/>
  <c r="P33" i="6" s="1"/>
  <c r="B33" i="6"/>
  <c r="O34" i="6" a="1"/>
  <c r="O34" i="6" s="1"/>
  <c r="P34" i="6" a="1"/>
  <c r="P34" i="6" s="1"/>
  <c r="B34" i="6"/>
  <c r="O35" i="6" a="1"/>
  <c r="O35" i="6" s="1"/>
  <c r="P35" i="6" a="1"/>
  <c r="P35" i="6" s="1"/>
  <c r="B35" i="6"/>
  <c r="O36" i="6" a="1"/>
  <c r="O36" i="6" s="1"/>
  <c r="P36" i="6" a="1"/>
  <c r="P36" i="6" s="1"/>
  <c r="B36" i="6"/>
  <c r="O37" i="6" a="1"/>
  <c r="O37" i="6" s="1"/>
  <c r="P37" i="6" a="1"/>
  <c r="P37" i="6" s="1"/>
  <c r="B37" i="6"/>
  <c r="O38" i="6" a="1"/>
  <c r="O38" i="6" s="1"/>
  <c r="P38" i="6" a="1"/>
  <c r="P38" i="6" s="1"/>
  <c r="B38" i="6"/>
  <c r="O39" i="6" a="1"/>
  <c r="O39" i="6" s="1"/>
  <c r="P39" i="6" a="1"/>
  <c r="P39" i="6" s="1"/>
  <c r="B39" i="6"/>
  <c r="O40" i="6" a="1"/>
  <c r="O40" i="6" s="1"/>
  <c r="P40" i="6" a="1"/>
  <c r="P40" i="6" s="1"/>
  <c r="B40" i="6"/>
  <c r="O41" i="6" a="1"/>
  <c r="O41" i="6" s="1"/>
  <c r="P41" i="6" a="1"/>
  <c r="P41" i="6" s="1"/>
  <c r="B41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R22" i="8"/>
  <c r="B12" i="8"/>
  <c r="L22" i="8"/>
  <c r="K22" i="8"/>
  <c r="N21" i="8"/>
  <c r="G22" i="8"/>
  <c r="C19" i="8"/>
  <c r="D21" i="8"/>
  <c r="H22" i="8"/>
  <c r="K19" i="8"/>
  <c r="E22" i="8"/>
  <c r="M22" i="8"/>
  <c r="F17" i="8"/>
  <c r="G3" i="8"/>
  <c r="C22" i="8"/>
  <c r="I22" i="8"/>
  <c r="B19" i="8"/>
  <c r="B17" i="8"/>
  <c r="H21" i="8"/>
  <c r="C18" i="8"/>
  <c r="I17" i="8"/>
  <c r="O22" i="8"/>
  <c r="D22" i="8"/>
  <c r="E21" i="8"/>
  <c r="C13" i="8"/>
  <c r="B13" i="8"/>
  <c r="D16" i="8"/>
  <c r="J20" i="8"/>
  <c r="T22" i="8"/>
  <c r="S23" i="8"/>
  <c r="E11" i="8"/>
  <c r="S24" i="8"/>
  <c r="N22" i="8"/>
  <c r="I20" i="8"/>
  <c r="V25" i="8"/>
  <c r="S26" i="8"/>
  <c r="E18" i="8"/>
  <c r="K25" i="8"/>
  <c r="P23" i="8"/>
  <c r="N25" i="8"/>
  <c r="D18" i="8"/>
  <c r="C24" i="8"/>
  <c r="D14" i="8"/>
  <c r="N24" i="8"/>
  <c r="S25" i="8"/>
  <c r="T23" i="8"/>
  <c r="S22" i="8"/>
  <c r="P22" i="8"/>
  <c r="S21" i="8"/>
  <c r="P18" i="8"/>
  <c r="L14" i="8"/>
  <c r="P20" i="8"/>
  <c r="H10" i="8"/>
  <c r="L17" i="8"/>
  <c r="B16" i="8"/>
  <c r="F20" i="8"/>
  <c r="J12" i="8"/>
  <c r="K10" i="8"/>
  <c r="G18" i="8"/>
  <c r="C7" i="8"/>
  <c r="D17" i="8"/>
  <c r="Q21" i="8"/>
  <c r="R20" i="8"/>
  <c r="D10" i="8"/>
  <c r="E15" i="8"/>
  <c r="C20" i="8"/>
  <c r="D19" i="8"/>
  <c r="N17" i="8"/>
  <c r="C9" i="8"/>
  <c r="H14" i="8"/>
  <c r="O18" i="8"/>
  <c r="L19" i="8"/>
  <c r="J13" i="8"/>
  <c r="J21" i="8"/>
  <c r="I18" i="8"/>
  <c r="F19" i="8"/>
  <c r="Q19" i="8"/>
  <c r="R21" i="8"/>
  <c r="N19" i="8"/>
  <c r="G20" i="8"/>
  <c r="F14" i="8"/>
  <c r="B20" i="8"/>
  <c r="E20" i="8"/>
  <c r="L18" i="8"/>
  <c r="O17" i="8"/>
  <c r="H17" i="8"/>
  <c r="M20" i="8"/>
  <c r="G15" i="8"/>
  <c r="B21" i="8"/>
  <c r="M18" i="8"/>
  <c r="C16" i="8"/>
  <c r="N16" i="8"/>
  <c r="H16" i="8"/>
  <c r="G16" i="8"/>
  <c r="J16" i="8"/>
  <c r="J19" i="8"/>
  <c r="F21" i="8"/>
  <c r="G11" i="8"/>
  <c r="K15" i="8"/>
  <c r="F16" i="8"/>
  <c r="I21" i="8"/>
  <c r="G19" i="8"/>
  <c r="H19" i="8"/>
  <c r="O21" i="8"/>
  <c r="B6" i="8"/>
  <c r="C5" i="8"/>
  <c r="B8" i="8"/>
  <c r="Q20" i="8"/>
  <c r="I13" i="8"/>
  <c r="L16" i="8"/>
  <c r="L21" i="8"/>
  <c r="N18" i="8"/>
  <c r="K18" i="8"/>
  <c r="J17" i="8"/>
  <c r="P19" i="8"/>
  <c r="O20" i="8"/>
  <c r="E17" i="8"/>
  <c r="H18" i="8"/>
  <c r="K20" i="8"/>
  <c r="I12" i="8"/>
  <c r="F10" i="8"/>
  <c r="K16" i="8"/>
  <c r="M17" i="8"/>
  <c r="D15" i="8"/>
  <c r="E14" i="8"/>
  <c r="H15" i="8"/>
  <c r="C12" i="8"/>
  <c r="C17" i="8"/>
  <c r="C21" i="8"/>
  <c r="F18" i="8"/>
  <c r="N20" i="8"/>
  <c r="G21" i="8"/>
  <c r="K21" i="8"/>
  <c r="G17" i="8"/>
  <c r="O19" i="8"/>
  <c r="B18" i="8"/>
  <c r="J22" i="8"/>
  <c r="L20" i="8"/>
  <c r="M19" i="8"/>
  <c r="H20" i="8"/>
  <c r="J18" i="8"/>
  <c r="E16" i="8"/>
  <c r="I16" i="8"/>
  <c r="P21" i="8"/>
  <c r="F22" i="8"/>
  <c r="D20" i="8"/>
  <c r="K17" i="8"/>
  <c r="B22" i="8"/>
  <c r="M16" i="8"/>
  <c r="Q22" i="8"/>
  <c r="E19" i="8"/>
  <c r="I19" i="8"/>
  <c r="L15" i="8"/>
  <c r="K14" i="8"/>
  <c r="F15" i="8"/>
  <c r="G14" i="8"/>
  <c r="G9" i="8"/>
  <c r="E13" i="8"/>
  <c r="B15" i="8"/>
  <c r="B14" i="8"/>
  <c r="D8" i="8"/>
  <c r="J15" i="8"/>
  <c r="I14" i="8"/>
  <c r="D12" i="8"/>
  <c r="D13" i="8"/>
  <c r="B10" i="8"/>
  <c r="D6" i="8"/>
  <c r="C15" i="8"/>
  <c r="E7" i="8"/>
  <c r="F12" i="8"/>
  <c r="C11" i="8"/>
  <c r="I4" i="8"/>
  <c r="E12" i="8"/>
  <c r="F8" i="8"/>
  <c r="G12" i="8"/>
  <c r="H13" i="8"/>
  <c r="E9" i="8"/>
  <c r="I11" i="8"/>
  <c r="H12" i="8"/>
  <c r="I15" i="8"/>
  <c r="C14" i="8"/>
  <c r="F13" i="8"/>
  <c r="G13" i="8"/>
  <c r="J14" i="8"/>
  <c r="K13" i="8"/>
  <c r="B4" i="8"/>
  <c r="C8" i="8"/>
  <c r="F9" i="8"/>
  <c r="E10" i="8"/>
  <c r="F11" i="8"/>
  <c r="D9" i="8"/>
  <c r="B7" i="8"/>
  <c r="D7" i="8"/>
  <c r="D11" i="8"/>
  <c r="E8" i="8"/>
  <c r="B5" i="8"/>
  <c r="H11" i="8"/>
  <c r="B9" i="8"/>
  <c r="G10" i="8"/>
  <c r="B11" i="8"/>
  <c r="C6" i="8"/>
  <c r="C10" i="8"/>
  <c r="X42" i="6" l="1"/>
  <c r="X34" i="6"/>
  <c r="X30" i="6"/>
  <c r="S30" i="6"/>
  <c r="AA30" i="6" s="1"/>
  <c r="S42" i="6"/>
  <c r="AA42" i="6" s="1"/>
  <c r="S32" i="6"/>
  <c r="AA32" i="6" s="1"/>
  <c r="I30" i="6"/>
  <c r="I34" i="6"/>
  <c r="I38" i="6"/>
  <c r="X40" i="6"/>
  <c r="X32" i="6"/>
  <c r="X27" i="6"/>
  <c r="S41" i="6"/>
  <c r="AA41" i="6" s="1"/>
  <c r="X39" i="6"/>
  <c r="X31" i="6"/>
  <c r="S36" i="6"/>
  <c r="AA36" i="6" s="1"/>
  <c r="I39" i="6"/>
  <c r="X36" i="6"/>
  <c r="S11" i="6"/>
  <c r="I40" i="6"/>
  <c r="X25" i="6"/>
  <c r="I26" i="6"/>
  <c r="X26" i="6"/>
  <c r="I25" i="6"/>
  <c r="I28" i="6"/>
  <c r="I29" i="6"/>
  <c r="I33" i="6"/>
  <c r="X29" i="6"/>
  <c r="X37" i="6"/>
  <c r="X41" i="6"/>
  <c r="X33" i="6"/>
  <c r="X22" i="6"/>
  <c r="X4" i="6"/>
  <c r="I9" i="6"/>
  <c r="I4" i="6"/>
  <c r="I42" i="6"/>
  <c r="X3" i="6"/>
  <c r="I3" i="6"/>
  <c r="X7" i="6"/>
  <c r="X21" i="6"/>
  <c r="X13" i="6"/>
  <c r="S15" i="6"/>
  <c r="X5" i="6"/>
  <c r="I13" i="6"/>
  <c r="I5" i="6"/>
  <c r="I6" i="6"/>
  <c r="S9" i="6"/>
  <c r="X11" i="6"/>
  <c r="I11" i="6"/>
  <c r="I19" i="6"/>
  <c r="X9" i="6"/>
  <c r="S10" i="6"/>
  <c r="S14" i="6"/>
  <c r="I14" i="6"/>
  <c r="I21" i="6"/>
  <c r="X6" i="6"/>
  <c r="X8" i="6"/>
  <c r="S8" i="6"/>
  <c r="S20" i="6"/>
  <c r="I20" i="6"/>
  <c r="S18" i="6"/>
  <c r="X12" i="6"/>
  <c r="I12" i="6"/>
  <c r="X16" i="6"/>
  <c r="S16" i="6"/>
  <c r="X15" i="6"/>
  <c r="S22" i="6"/>
  <c r="X18" i="6"/>
  <c r="I10" i="6"/>
  <c r="I17" i="6"/>
  <c r="F8" i="6"/>
  <c r="X20" i="6"/>
  <c r="S12" i="6"/>
  <c r="I22" i="6"/>
  <c r="S19" i="6"/>
  <c r="X17" i="6"/>
  <c r="M41" i="6"/>
  <c r="L37" i="6"/>
  <c r="F16" i="6"/>
  <c r="W12" i="6"/>
  <c r="S3" i="6"/>
  <c r="S7" i="6"/>
  <c r="S28" i="6"/>
  <c r="AA28" i="6" s="1"/>
  <c r="X14" i="6"/>
  <c r="D42" i="6"/>
  <c r="I37" i="6"/>
  <c r="Q12" i="6"/>
  <c r="F24" i="6"/>
  <c r="S26" i="6"/>
  <c r="I27" i="6"/>
  <c r="S34" i="6"/>
  <c r="AA34" i="6" s="1"/>
  <c r="I36" i="6"/>
  <c r="S24" i="6"/>
  <c r="S17" i="6"/>
  <c r="W18" i="6"/>
  <c r="S21" i="6"/>
  <c r="X24" i="6"/>
  <c r="I18" i="6"/>
  <c r="X23" i="6"/>
  <c r="L25" i="6"/>
  <c r="M29" i="6"/>
  <c r="N33" i="6"/>
  <c r="N37" i="6"/>
  <c r="N41" i="6"/>
  <c r="M17" i="6"/>
  <c r="M21" i="6"/>
  <c r="F12" i="6"/>
  <c r="D15" i="6"/>
  <c r="F26" i="6"/>
  <c r="F34" i="6"/>
  <c r="S39" i="6"/>
  <c r="AA39" i="6" s="1"/>
  <c r="F14" i="6"/>
  <c r="X38" i="6"/>
  <c r="X28" i="6"/>
  <c r="S6" i="6"/>
  <c r="M25" i="6"/>
  <c r="S5" i="6"/>
  <c r="F20" i="6"/>
  <c r="D23" i="6"/>
  <c r="D39" i="6"/>
  <c r="D7" i="6"/>
  <c r="F18" i="6"/>
  <c r="F22" i="6"/>
  <c r="X19" i="6"/>
  <c r="X10" i="6"/>
  <c r="Q41" i="6"/>
  <c r="Q31" i="6"/>
  <c r="N29" i="6"/>
  <c r="S40" i="6"/>
  <c r="AA40" i="6" s="1"/>
  <c r="S4" i="6"/>
  <c r="F6" i="6"/>
  <c r="F10" i="6"/>
  <c r="S13" i="6"/>
  <c r="F28" i="6"/>
  <c r="F32" i="6"/>
  <c r="D38" i="6"/>
  <c r="F30" i="6"/>
  <c r="M23" i="6"/>
  <c r="M27" i="6"/>
  <c r="M31" i="6"/>
  <c r="M35" i="6"/>
  <c r="L39" i="6"/>
  <c r="Q7" i="6"/>
  <c r="N25" i="6"/>
  <c r="L33" i="6"/>
  <c r="M37" i="6"/>
  <c r="M30" i="6"/>
  <c r="M38" i="6"/>
  <c r="M42" i="6"/>
  <c r="F3" i="6"/>
  <c r="M10" i="6"/>
  <c r="M14" i="6"/>
  <c r="M18" i="6"/>
  <c r="M22" i="6"/>
  <c r="D5" i="6"/>
  <c r="M28" i="6"/>
  <c r="M32" i="6"/>
  <c r="M36" i="6"/>
  <c r="M40" i="6"/>
  <c r="M8" i="6"/>
  <c r="M12" i="6"/>
  <c r="M16" i="6"/>
  <c r="M20" i="6"/>
  <c r="M24" i="6"/>
  <c r="M26" i="6"/>
  <c r="M34" i="6"/>
  <c r="D13" i="6"/>
  <c r="M7" i="6"/>
  <c r="M11" i="6"/>
  <c r="M9" i="6"/>
  <c r="M13" i="6"/>
  <c r="D21" i="6"/>
  <c r="M15" i="6"/>
  <c r="M19" i="6"/>
  <c r="L29" i="6"/>
  <c r="M33" i="6"/>
  <c r="D35" i="6"/>
  <c r="D40" i="6"/>
  <c r="Q8" i="6"/>
  <c r="F4" i="6"/>
  <c r="L41" i="6"/>
  <c r="D36" i="6"/>
  <c r="Q38" i="6"/>
  <c r="W38" i="6"/>
  <c r="I7" i="6"/>
  <c r="W7" i="6"/>
  <c r="I8" i="6"/>
  <c r="W8" i="6"/>
  <c r="F9" i="6"/>
  <c r="M5" i="6"/>
  <c r="E14" i="6"/>
  <c r="D14" i="6"/>
  <c r="F17" i="6"/>
  <c r="I31" i="6"/>
  <c r="W31" i="6"/>
  <c r="I32" i="6"/>
  <c r="W32" i="6"/>
  <c r="F33" i="6"/>
  <c r="D33" i="6"/>
  <c r="I35" i="6"/>
  <c r="X35" i="6"/>
  <c r="F41" i="6"/>
  <c r="E41" i="6"/>
  <c r="D41" i="6"/>
  <c r="I41" i="6"/>
  <c r="W41" i="6"/>
  <c r="Q21" i="6"/>
  <c r="Y21" i="6" s="1"/>
  <c r="W21" i="6"/>
  <c r="W4" i="6"/>
  <c r="Q4" i="6"/>
  <c r="E22" i="6"/>
  <c r="D22" i="6"/>
  <c r="F25" i="6"/>
  <c r="D25" i="6"/>
  <c r="M4" i="6"/>
  <c r="S29" i="6"/>
  <c r="AA29" i="6" s="1"/>
  <c r="Q34" i="6"/>
  <c r="W34" i="6"/>
  <c r="Q29" i="6"/>
  <c r="W29" i="6"/>
  <c r="W9" i="6"/>
  <c r="Q9" i="6"/>
  <c r="W5" i="6"/>
  <c r="Q5" i="6"/>
  <c r="E6" i="6"/>
  <c r="D6" i="6"/>
  <c r="M3" i="6"/>
  <c r="W15" i="6"/>
  <c r="I15" i="6"/>
  <c r="W16" i="6"/>
  <c r="I16" i="6"/>
  <c r="I23" i="6"/>
  <c r="W23" i="6"/>
  <c r="I24" i="6"/>
  <c r="W24" i="6"/>
  <c r="W3" i="6"/>
  <c r="Q3" i="6"/>
  <c r="W20" i="6"/>
  <c r="Q20" i="6"/>
  <c r="Q27" i="6"/>
  <c r="W27" i="6"/>
  <c r="Q10" i="6"/>
  <c r="W10" i="6"/>
  <c r="Q36" i="6"/>
  <c r="Y36" i="6" s="1"/>
  <c r="W36" i="6"/>
  <c r="Q33" i="6"/>
  <c r="W33" i="6"/>
  <c r="Q19" i="6"/>
  <c r="W19" i="6"/>
  <c r="Q37" i="6"/>
  <c r="W37" i="6"/>
  <c r="Q25" i="6"/>
  <c r="W25" i="6"/>
  <c r="Q17" i="6"/>
  <c r="W17" i="6"/>
  <c r="Q16" i="6"/>
  <c r="Q22" i="6"/>
  <c r="W22" i="6"/>
  <c r="Q6" i="6"/>
  <c r="W6" i="6"/>
  <c r="Q39" i="6"/>
  <c r="W39" i="6"/>
  <c r="Q30" i="6"/>
  <c r="Y30" i="6" s="1"/>
  <c r="W30" i="6"/>
  <c r="W42" i="6"/>
  <c r="Q42" i="6"/>
  <c r="Q14" i="6"/>
  <c r="W14" i="6"/>
  <c r="Q40" i="6"/>
  <c r="W40" i="6"/>
  <c r="Q35" i="6"/>
  <c r="W35" i="6"/>
  <c r="Q32" i="6"/>
  <c r="Q28" i="6"/>
  <c r="W28" i="6"/>
  <c r="Q26" i="6"/>
  <c r="W26" i="6"/>
  <c r="W11" i="6"/>
  <c r="Q11" i="6"/>
  <c r="Q23" i="6"/>
  <c r="Q18" i="6"/>
  <c r="Q15" i="6"/>
  <c r="Q13" i="6"/>
  <c r="W13" i="6"/>
  <c r="M6" i="6"/>
  <c r="N28" i="6"/>
  <c r="L28" i="6"/>
  <c r="N32" i="6"/>
  <c r="L32" i="6"/>
  <c r="N36" i="6"/>
  <c r="L36" i="6"/>
  <c r="N40" i="6"/>
  <c r="L40" i="6"/>
  <c r="E3" i="6"/>
  <c r="N4" i="6"/>
  <c r="D3" i="6"/>
  <c r="L4" i="6"/>
  <c r="N8" i="6"/>
  <c r="L8" i="6"/>
  <c r="N12" i="6"/>
  <c r="L12" i="6"/>
  <c r="N16" i="6"/>
  <c r="L16" i="6"/>
  <c r="N20" i="6"/>
  <c r="L20" i="6"/>
  <c r="N24" i="6"/>
  <c r="L24" i="6"/>
  <c r="E4" i="6"/>
  <c r="D4" i="6"/>
  <c r="N3" i="6"/>
  <c r="L3" i="6"/>
  <c r="F7" i="6"/>
  <c r="D11" i="6"/>
  <c r="E12" i="6"/>
  <c r="D12" i="6"/>
  <c r="N11" i="6"/>
  <c r="L11" i="6"/>
  <c r="F15" i="6"/>
  <c r="N13" i="6"/>
  <c r="L13" i="6"/>
  <c r="D19" i="6"/>
  <c r="E20" i="6"/>
  <c r="D20" i="6"/>
  <c r="N19" i="6"/>
  <c r="L19" i="6"/>
  <c r="F23" i="6"/>
  <c r="N21" i="6"/>
  <c r="L21" i="6"/>
  <c r="S27" i="6"/>
  <c r="AA27" i="6" s="1"/>
  <c r="F31" i="6"/>
  <c r="D31" i="6"/>
  <c r="S35" i="6"/>
  <c r="AA35" i="6" s="1"/>
  <c r="F37" i="6"/>
  <c r="E37" i="6"/>
  <c r="D37" i="6"/>
  <c r="N27" i="6"/>
  <c r="L27" i="6"/>
  <c r="N31" i="6"/>
  <c r="L31" i="6"/>
  <c r="N35" i="6"/>
  <c r="L35" i="6"/>
  <c r="M39" i="6"/>
  <c r="Q24" i="6"/>
  <c r="F5" i="6"/>
  <c r="N5" i="6"/>
  <c r="D9" i="6"/>
  <c r="E10" i="6"/>
  <c r="D10" i="6"/>
  <c r="F13" i="6"/>
  <c r="D17" i="6"/>
  <c r="E18" i="6"/>
  <c r="D18" i="6"/>
  <c r="F21" i="6"/>
  <c r="S25" i="6"/>
  <c r="F29" i="6"/>
  <c r="D29" i="6"/>
  <c r="S33" i="6"/>
  <c r="AA33" i="6" s="1"/>
  <c r="N26" i="6"/>
  <c r="L26" i="6"/>
  <c r="N30" i="6"/>
  <c r="L30" i="6"/>
  <c r="N34" i="6"/>
  <c r="L34" i="6"/>
  <c r="N38" i="6"/>
  <c r="L38" i="6"/>
  <c r="N42" i="6"/>
  <c r="L42" i="6"/>
  <c r="N6" i="6"/>
  <c r="L6" i="6"/>
  <c r="N10" i="6"/>
  <c r="L10" i="6"/>
  <c r="N14" i="6"/>
  <c r="L14" i="6"/>
  <c r="N18" i="6"/>
  <c r="L18" i="6"/>
  <c r="N22" i="6"/>
  <c r="L22" i="6"/>
  <c r="E8" i="6"/>
  <c r="D8" i="6"/>
  <c r="N7" i="6"/>
  <c r="L7" i="6"/>
  <c r="F11" i="6"/>
  <c r="N9" i="6"/>
  <c r="L9" i="6"/>
  <c r="E16" i="6"/>
  <c r="D16" i="6"/>
  <c r="N15" i="6"/>
  <c r="L15" i="6"/>
  <c r="F19" i="6"/>
  <c r="N17" i="6"/>
  <c r="L17" i="6"/>
  <c r="S23" i="6"/>
  <c r="E24" i="6"/>
  <c r="D24" i="6"/>
  <c r="N23" i="6"/>
  <c r="L23" i="6"/>
  <c r="F27" i="6"/>
  <c r="D27" i="6"/>
  <c r="S31" i="6"/>
  <c r="AA31" i="6" s="1"/>
  <c r="L5" i="6"/>
  <c r="E26" i="6"/>
  <c r="E28" i="6"/>
  <c r="E30" i="6"/>
  <c r="E32" i="6"/>
  <c r="E34" i="6"/>
  <c r="F38" i="6"/>
  <c r="E38" i="6"/>
  <c r="F42" i="6"/>
  <c r="E42" i="6"/>
  <c r="E5" i="6"/>
  <c r="E7" i="6"/>
  <c r="E9" i="6"/>
  <c r="E11" i="6"/>
  <c r="E13" i="6"/>
  <c r="E15" i="6"/>
  <c r="E17" i="6"/>
  <c r="E19" i="6"/>
  <c r="E21" i="6"/>
  <c r="E23" i="6"/>
  <c r="F35" i="6"/>
  <c r="E35" i="6"/>
  <c r="F39" i="6"/>
  <c r="E39" i="6"/>
  <c r="E25" i="6"/>
  <c r="N39" i="6"/>
  <c r="D26" i="6"/>
  <c r="E27" i="6"/>
  <c r="D28" i="6"/>
  <c r="E29" i="6"/>
  <c r="D30" i="6"/>
  <c r="E31" i="6"/>
  <c r="D32" i="6"/>
  <c r="E33" i="6"/>
  <c r="D34" i="6"/>
  <c r="F36" i="6"/>
  <c r="E36" i="6"/>
  <c r="F40" i="6"/>
  <c r="E40" i="6"/>
  <c r="Y38" i="6" l="1"/>
  <c r="Y34" i="6"/>
  <c r="Y40" i="6"/>
  <c r="V35" i="6"/>
  <c r="Y42" i="6"/>
  <c r="J7" i="6"/>
  <c r="Y39" i="6"/>
  <c r="Y9" i="6"/>
  <c r="Y33" i="6"/>
  <c r="Y25" i="6"/>
  <c r="Y26" i="6"/>
  <c r="Y37" i="6"/>
  <c r="Y28" i="6"/>
  <c r="Y3" i="6"/>
  <c r="Y27" i="6"/>
  <c r="Y29" i="6"/>
  <c r="V8" i="6"/>
  <c r="Y4" i="6"/>
  <c r="V10" i="6"/>
  <c r="V30" i="6"/>
  <c r="V26" i="6"/>
  <c r="Y10" i="6"/>
  <c r="Y6" i="6"/>
  <c r="V37" i="6"/>
  <c r="Y13" i="6"/>
  <c r="V20" i="6"/>
  <c r="Y11" i="6"/>
  <c r="Y5" i="6"/>
  <c r="U18" i="6"/>
  <c r="Y19" i="6"/>
  <c r="R25" i="6"/>
  <c r="V4" i="6"/>
  <c r="V34" i="6"/>
  <c r="V28" i="6"/>
  <c r="Y14" i="6"/>
  <c r="Y12" i="6"/>
  <c r="Y20" i="6"/>
  <c r="V14" i="6"/>
  <c r="Y18" i="6"/>
  <c r="Y17" i="6"/>
  <c r="V33" i="6"/>
  <c r="V16" i="6"/>
  <c r="V18" i="6"/>
  <c r="Y22" i="6"/>
  <c r="Y8" i="6"/>
  <c r="U41" i="6"/>
  <c r="U33" i="6"/>
  <c r="U24" i="6"/>
  <c r="U17" i="6"/>
  <c r="U32" i="6"/>
  <c r="Y41" i="6"/>
  <c r="U12" i="6"/>
  <c r="V40" i="6"/>
  <c r="U29" i="6"/>
  <c r="U11" i="6"/>
  <c r="U42" i="6"/>
  <c r="U26" i="6"/>
  <c r="V27" i="6"/>
  <c r="V19" i="6"/>
  <c r="V22" i="6"/>
  <c r="V6" i="6"/>
  <c r="T13" i="6"/>
  <c r="U4" i="6"/>
  <c r="V12" i="6"/>
  <c r="V32" i="6"/>
  <c r="T39" i="6"/>
  <c r="V24" i="6"/>
  <c r="U3" i="6"/>
  <c r="U25" i="6"/>
  <c r="U14" i="6"/>
  <c r="R29" i="6"/>
  <c r="V29" i="6"/>
  <c r="V41" i="6"/>
  <c r="U31" i="6"/>
  <c r="U28" i="6"/>
  <c r="U8" i="6"/>
  <c r="V25" i="6"/>
  <c r="R41" i="6"/>
  <c r="Y31" i="6"/>
  <c r="U30" i="6"/>
  <c r="U10" i="6"/>
  <c r="Y7" i="6"/>
  <c r="R5" i="6"/>
  <c r="R37" i="6"/>
  <c r="U27" i="6"/>
  <c r="U21" i="6"/>
  <c r="U13" i="6"/>
  <c r="U5" i="6"/>
  <c r="V38" i="6"/>
  <c r="V11" i="6"/>
  <c r="U37" i="6"/>
  <c r="U20" i="6"/>
  <c r="R33" i="6"/>
  <c r="V39" i="6"/>
  <c r="R14" i="6"/>
  <c r="R6" i="6"/>
  <c r="R30" i="6"/>
  <c r="R27" i="6"/>
  <c r="R11" i="6"/>
  <c r="R20" i="6"/>
  <c r="R12" i="6"/>
  <c r="R32" i="6"/>
  <c r="V3" i="6"/>
  <c r="R39" i="6"/>
  <c r="V23" i="6"/>
  <c r="U19" i="6"/>
  <c r="U34" i="6"/>
  <c r="U16" i="6"/>
  <c r="R22" i="6"/>
  <c r="R19" i="6"/>
  <c r="U22" i="6"/>
  <c r="U9" i="6"/>
  <c r="U6" i="6"/>
  <c r="V36" i="6"/>
  <c r="R17" i="6"/>
  <c r="R18" i="6"/>
  <c r="R10" i="6"/>
  <c r="R42" i="6"/>
  <c r="R34" i="6"/>
  <c r="R26" i="6"/>
  <c r="R31" i="6"/>
  <c r="R3" i="6"/>
  <c r="R24" i="6"/>
  <c r="R16" i="6"/>
  <c r="R8" i="6"/>
  <c r="R28" i="6"/>
  <c r="U39" i="6"/>
  <c r="J39" i="6"/>
  <c r="U7" i="6"/>
  <c r="T37" i="6"/>
  <c r="J37" i="6"/>
  <c r="J12" i="6"/>
  <c r="T12" i="6"/>
  <c r="R36" i="6"/>
  <c r="T36" i="6"/>
  <c r="Y24" i="6"/>
  <c r="J6" i="6"/>
  <c r="T6" i="6"/>
  <c r="J21" i="6"/>
  <c r="T41" i="6"/>
  <c r="J41" i="6"/>
  <c r="V15" i="6"/>
  <c r="Y15" i="6"/>
  <c r="J22" i="6"/>
  <c r="T22" i="6"/>
  <c r="Y35" i="6"/>
  <c r="Y32" i="6"/>
  <c r="V17" i="6"/>
  <c r="U23" i="6"/>
  <c r="J23" i="6"/>
  <c r="U38" i="6"/>
  <c r="J38" i="6"/>
  <c r="J8" i="6"/>
  <c r="T8" i="6"/>
  <c r="J31" i="6"/>
  <c r="T31" i="6"/>
  <c r="J20" i="6"/>
  <c r="T20" i="6"/>
  <c r="T34" i="6"/>
  <c r="J34" i="6"/>
  <c r="J26" i="6"/>
  <c r="T26" i="6"/>
  <c r="J24" i="6"/>
  <c r="T24" i="6"/>
  <c r="J16" i="6"/>
  <c r="T16" i="6"/>
  <c r="J17" i="6"/>
  <c r="T17" i="6"/>
  <c r="U35" i="6"/>
  <c r="J35" i="6"/>
  <c r="R7" i="6"/>
  <c r="T7" i="6"/>
  <c r="R38" i="6"/>
  <c r="T38" i="6"/>
  <c r="V21" i="6"/>
  <c r="V13" i="6"/>
  <c r="R35" i="6"/>
  <c r="T35" i="6"/>
  <c r="J19" i="6"/>
  <c r="T19" i="6"/>
  <c r="J11" i="6"/>
  <c r="T11" i="6"/>
  <c r="J4" i="6"/>
  <c r="T4" i="6"/>
  <c r="R4" i="6"/>
  <c r="R40" i="6"/>
  <c r="T40" i="6"/>
  <c r="Y23" i="6"/>
  <c r="J5" i="6"/>
  <c r="J13" i="6"/>
  <c r="T42" i="6"/>
  <c r="T33" i="6"/>
  <c r="J33" i="6"/>
  <c r="J14" i="6"/>
  <c r="T14" i="6"/>
  <c r="T5" i="6"/>
  <c r="J15" i="6"/>
  <c r="U15" i="6"/>
  <c r="U40" i="6"/>
  <c r="J40" i="6"/>
  <c r="J30" i="6"/>
  <c r="T30" i="6"/>
  <c r="J27" i="6"/>
  <c r="T27" i="6"/>
  <c r="J9" i="6"/>
  <c r="T9" i="6"/>
  <c r="V31" i="6"/>
  <c r="U36" i="6"/>
  <c r="J36" i="6"/>
  <c r="T32" i="6"/>
  <c r="J32" i="6"/>
  <c r="J28" i="6"/>
  <c r="T28" i="6"/>
  <c r="V42" i="6"/>
  <c r="R23" i="6"/>
  <c r="T23" i="6"/>
  <c r="R15" i="6"/>
  <c r="T15" i="6"/>
  <c r="R9" i="6"/>
  <c r="J29" i="6"/>
  <c r="T29" i="6"/>
  <c r="J18" i="6"/>
  <c r="T18" i="6"/>
  <c r="J10" i="6"/>
  <c r="T10" i="6"/>
  <c r="V5" i="6"/>
  <c r="R21" i="6"/>
  <c r="R13" i="6"/>
  <c r="V7" i="6"/>
  <c r="J3" i="6"/>
  <c r="T3" i="6"/>
  <c r="Y16" i="6"/>
  <c r="J25" i="6"/>
  <c r="T25" i="6"/>
  <c r="T21" i="6"/>
  <c r="J42" i="6"/>
  <c r="V9" i="6"/>
  <c r="Z12" i="6" l="1"/>
  <c r="AA12" i="6" s="1"/>
  <c r="Z39" i="6"/>
  <c r="Z10" i="6"/>
  <c r="AA10" i="6" s="1"/>
  <c r="Z25" i="6"/>
  <c r="AA25" i="6" s="1"/>
  <c r="Z37" i="6"/>
  <c r="Z41" i="6"/>
  <c r="Z42" i="6"/>
  <c r="Z28" i="6"/>
  <c r="Z3" i="6"/>
  <c r="AA3" i="6" s="1"/>
  <c r="Z32" i="6"/>
  <c r="Z27" i="6"/>
  <c r="Z19" i="6"/>
  <c r="AA19" i="6" s="1"/>
  <c r="Z20" i="6"/>
  <c r="AA20" i="6" s="1"/>
  <c r="Z6" i="6"/>
  <c r="AA6" i="6" s="1"/>
  <c r="Z31" i="6"/>
  <c r="Z30" i="6"/>
  <c r="Z33" i="6"/>
  <c r="Z29" i="6"/>
  <c r="Z36" i="6"/>
  <c r="Z5" i="6"/>
  <c r="AA5" i="6" s="1"/>
  <c r="Z16" i="6"/>
  <c r="AA16" i="6" s="1"/>
  <c r="Z26" i="6"/>
  <c r="AA26" i="6" s="1"/>
  <c r="Z8" i="6"/>
  <c r="AA8" i="6" s="1"/>
  <c r="Z34" i="6"/>
  <c r="Z14" i="6"/>
  <c r="AA14" i="6" s="1"/>
  <c r="Z18" i="6"/>
  <c r="AA18" i="6" s="1"/>
  <c r="Z11" i="6"/>
  <c r="AA11" i="6" s="1"/>
  <c r="Z15" i="6"/>
  <c r="AA15" i="6" s="1"/>
  <c r="Z17" i="6"/>
  <c r="AA17" i="6" s="1"/>
  <c r="Z24" i="6"/>
  <c r="AA24" i="6" s="1"/>
  <c r="Z22" i="6"/>
  <c r="AA22" i="6" s="1"/>
  <c r="Z40" i="6"/>
  <c r="Z13" i="6"/>
  <c r="AA13" i="6" s="1"/>
  <c r="Z35" i="6"/>
  <c r="Z23" i="6"/>
  <c r="AA23" i="6" s="1"/>
  <c r="Z7" i="6"/>
  <c r="Z4" i="6"/>
  <c r="AA4" i="6" s="1"/>
  <c r="Z9" i="6"/>
  <c r="AA9" i="6" s="1"/>
  <c r="Z38" i="6"/>
  <c r="Z21" i="6"/>
  <c r="AA21" i="6" s="1"/>
  <c r="AA7" i="6" l="1"/>
  <c r="A3" i="6" s="1"/>
  <c r="A7" i="6" l="1"/>
  <c r="A6" i="6"/>
  <c r="A34" i="6"/>
  <c r="A32" i="6"/>
  <c r="A21" i="6"/>
  <c r="A23" i="6"/>
  <c r="A26" i="6"/>
  <c r="A17" i="6"/>
  <c r="A28" i="6"/>
  <c r="A42" i="6"/>
  <c r="A40" i="6"/>
  <c r="A41" i="6"/>
  <c r="A16" i="6"/>
  <c r="A18" i="6"/>
  <c r="A27" i="6"/>
  <c r="A5" i="6"/>
  <c r="A12" i="6"/>
  <c r="A19" i="6"/>
  <c r="A29" i="6"/>
  <c r="A36" i="6"/>
  <c r="A31" i="6"/>
  <c r="A22" i="6"/>
  <c r="A14" i="6"/>
  <c r="A15" i="6"/>
  <c r="A10" i="6"/>
  <c r="A38" i="6"/>
  <c r="A39" i="6"/>
  <c r="A35" i="6"/>
  <c r="A33" i="6"/>
  <c r="A8" i="6"/>
  <c r="A9" i="6"/>
  <c r="A4" i="6"/>
  <c r="A11" i="6"/>
  <c r="A30" i="6"/>
  <c r="A37" i="6"/>
  <c r="A25" i="6"/>
  <c r="A24" i="6"/>
  <c r="A13" i="6"/>
  <c r="A20" i="6"/>
  <c r="B3" i="1" l="1"/>
  <c r="C10" i="10" s="1"/>
  <c r="D15" i="1"/>
  <c r="L41" i="1"/>
  <c r="C42" i="1"/>
  <c r="S42" i="1"/>
  <c r="J35" i="1"/>
  <c r="Z35" i="1"/>
  <c r="Q36" i="1"/>
  <c r="H37" i="1"/>
  <c r="X37" i="1"/>
  <c r="N41" i="1"/>
  <c r="J42" i="1"/>
  <c r="G35" i="1"/>
  <c r="C36" i="1"/>
  <c r="X36" i="1"/>
  <c r="U37" i="1"/>
  <c r="N38" i="1"/>
  <c r="I39" i="1"/>
  <c r="Y39" i="1"/>
  <c r="P40" i="1"/>
  <c r="G23" i="1"/>
  <c r="T23" i="1"/>
  <c r="C24" i="1"/>
  <c r="S24" i="1"/>
  <c r="J25" i="1"/>
  <c r="E41" i="1"/>
  <c r="Z41" i="1"/>
  <c r="V42" i="1"/>
  <c r="S35" i="1"/>
  <c r="O36" i="1"/>
  <c r="K37" i="1"/>
  <c r="G38" i="1"/>
  <c r="W38" i="1"/>
  <c r="N39" i="1"/>
  <c r="E40" i="1"/>
  <c r="U40" i="1"/>
  <c r="L23" i="1"/>
  <c r="D24" i="1"/>
  <c r="X24" i="1"/>
  <c r="O25" i="1"/>
  <c r="F26" i="1"/>
  <c r="V26" i="1"/>
  <c r="M27" i="1"/>
  <c r="D28" i="1"/>
  <c r="T28" i="1"/>
  <c r="K29" i="1"/>
  <c r="B30" i="1"/>
  <c r="R30" i="1"/>
  <c r="I31" i="1"/>
  <c r="Y31" i="1"/>
  <c r="P32" i="1"/>
  <c r="M41" i="1"/>
  <c r="E35" i="1"/>
  <c r="W36" i="1"/>
  <c r="M38" i="1"/>
  <c r="T39" i="1"/>
  <c r="B23" i="1"/>
  <c r="N24" i="1"/>
  <c r="Y25" i="1"/>
  <c r="U26" i="1"/>
  <c r="R27" i="1"/>
  <c r="N28" i="1"/>
  <c r="J29" i="1"/>
  <c r="G30" i="1"/>
  <c r="C31" i="1"/>
  <c r="X31" i="1"/>
  <c r="U32" i="1"/>
  <c r="Q41" i="1"/>
  <c r="I35" i="1"/>
  <c r="B37" i="1"/>
  <c r="P38" i="1"/>
  <c r="W39" i="1"/>
  <c r="E23" i="1"/>
  <c r="Q24" i="1"/>
  <c r="T25" i="1"/>
  <c r="Q26" i="1"/>
  <c r="N27" i="1"/>
  <c r="J28" i="1"/>
  <c r="F29" i="1"/>
  <c r="C30" i="1"/>
  <c r="X30" i="1"/>
  <c r="T31" i="1"/>
  <c r="P41" i="1"/>
  <c r="G42" i="1"/>
  <c r="W42" i="1"/>
  <c r="N35" i="1"/>
  <c r="E36" i="1"/>
  <c r="U36" i="1"/>
  <c r="L37" i="1"/>
  <c r="C38" i="1"/>
  <c r="S41" i="1"/>
  <c r="P42" i="1"/>
  <c r="L35" i="1"/>
  <c r="H36" i="1"/>
  <c r="E37" i="1"/>
  <c r="Z37" i="1"/>
  <c r="R38" i="1"/>
  <c r="M39" i="1"/>
  <c r="D40" i="1"/>
  <c r="T40" i="1"/>
  <c r="K23" i="1"/>
  <c r="U23" i="1"/>
  <c r="G24" i="1"/>
  <c r="U24" i="1"/>
  <c r="N25" i="1"/>
  <c r="J41" i="1"/>
  <c r="F42" i="1"/>
  <c r="C35" i="1"/>
  <c r="X35" i="1"/>
  <c r="T36" i="1"/>
  <c r="Q37" i="1"/>
  <c r="K38" i="1"/>
  <c r="B39" i="1"/>
  <c r="R39" i="1"/>
  <c r="I40" i="1"/>
  <c r="Y40" i="1"/>
  <c r="P23" i="1"/>
  <c r="H24" i="1"/>
  <c r="C25" i="1"/>
  <c r="S25" i="1"/>
  <c r="J26" i="1"/>
  <c r="Z26" i="1"/>
  <c r="Q27" i="1"/>
  <c r="H28" i="1"/>
  <c r="X28" i="1"/>
  <c r="O29" i="1"/>
  <c r="F30" i="1"/>
  <c r="V30" i="1"/>
  <c r="M31" i="1"/>
  <c r="D32" i="1"/>
  <c r="T32" i="1"/>
  <c r="W41" i="1"/>
  <c r="P35" i="1"/>
  <c r="I37" i="1"/>
  <c r="U38" i="1"/>
  <c r="C40" i="1"/>
  <c r="J23" i="1"/>
  <c r="Z24" i="1"/>
  <c r="E26" i="1"/>
  <c r="B27" i="1"/>
  <c r="W27" i="1"/>
  <c r="S28" i="1"/>
  <c r="P29" i="1"/>
  <c r="L30" i="1"/>
  <c r="H31" i="1"/>
  <c r="E32" i="1"/>
  <c r="Z32" i="1"/>
  <c r="B42" i="1"/>
  <c r="D41" i="1"/>
  <c r="K42" i="1"/>
  <c r="R35" i="1"/>
  <c r="Y36" i="1"/>
  <c r="C41" i="1"/>
  <c r="U42" i="1"/>
  <c r="N36" i="1"/>
  <c r="F38" i="1"/>
  <c r="Q39" i="1"/>
  <c r="X40" i="1"/>
  <c r="V23" i="1"/>
  <c r="B25" i="1"/>
  <c r="O41" i="1"/>
  <c r="H35" i="1"/>
  <c r="Z36" i="1"/>
  <c r="O38" i="1"/>
  <c r="V39" i="1"/>
  <c r="D23" i="1"/>
  <c r="L24" i="1"/>
  <c r="W25" i="1"/>
  <c r="E27" i="1"/>
  <c r="L28" i="1"/>
  <c r="S29" i="1"/>
  <c r="Z30" i="1"/>
  <c r="H32" i="1"/>
  <c r="I42" i="1"/>
  <c r="S37" i="1"/>
  <c r="K40" i="1"/>
  <c r="I25" i="1"/>
  <c r="G27" i="1"/>
  <c r="Y28" i="1"/>
  <c r="Q30" i="1"/>
  <c r="J32" i="1"/>
  <c r="M42" i="1"/>
  <c r="P36" i="1"/>
  <c r="X38" i="1"/>
  <c r="N40" i="1"/>
  <c r="I24" i="1"/>
  <c r="Z25" i="1"/>
  <c r="C27" i="1"/>
  <c r="E28" i="1"/>
  <c r="L29" i="1"/>
  <c r="M30" i="1"/>
  <c r="O31" i="1"/>
  <c r="Q32" i="1"/>
  <c r="J33" i="1"/>
  <c r="Z33" i="1"/>
  <c r="Q34" i="1"/>
  <c r="G3" i="1"/>
  <c r="W3" i="1"/>
  <c r="H10" i="10" s="1"/>
  <c r="T10" i="10" s="1"/>
  <c r="N4" i="1"/>
  <c r="E5" i="1"/>
  <c r="U5" i="1"/>
  <c r="F12" i="10" s="1"/>
  <c r="L6" i="1"/>
  <c r="C7" i="1"/>
  <c r="S7" i="1"/>
  <c r="D14" i="10" s="1"/>
  <c r="J8" i="1"/>
  <c r="Z8" i="1"/>
  <c r="Q9" i="1"/>
  <c r="H10" i="1"/>
  <c r="X10" i="1"/>
  <c r="I17" i="10" s="1"/>
  <c r="U17" i="10" s="1"/>
  <c r="O11" i="1"/>
  <c r="F12" i="1"/>
  <c r="V12" i="1"/>
  <c r="M13" i="1"/>
  <c r="D14" i="1"/>
  <c r="T14" i="1"/>
  <c r="K15" i="1"/>
  <c r="B16" i="1"/>
  <c r="R16" i="1"/>
  <c r="I17" i="1"/>
  <c r="Y17" i="1"/>
  <c r="P18" i="1"/>
  <c r="G19" i="1"/>
  <c r="W19" i="1"/>
  <c r="N20" i="1"/>
  <c r="E21" i="1"/>
  <c r="U21" i="1"/>
  <c r="L22" i="1"/>
  <c r="K41" i="1"/>
  <c r="V36" i="1"/>
  <c r="S39" i="1"/>
  <c r="J24" i="1"/>
  <c r="M26" i="1"/>
  <c r="F28" i="1"/>
  <c r="X29" i="1"/>
  <c r="P31" i="1"/>
  <c r="G33" i="1"/>
  <c r="C34" i="1"/>
  <c r="X34" i="1"/>
  <c r="U3" i="1"/>
  <c r="F10" i="10" s="1"/>
  <c r="Q4" i="1"/>
  <c r="N5" i="1"/>
  <c r="J6" i="1"/>
  <c r="F7" i="1"/>
  <c r="C8" i="1"/>
  <c r="X8" i="1"/>
  <c r="I15" i="10" s="1"/>
  <c r="U15" i="10" s="1"/>
  <c r="T9" i="1"/>
  <c r="E16" i="10" s="1"/>
  <c r="Q10" i="1"/>
  <c r="M11" i="1"/>
  <c r="H41" i="1"/>
  <c r="O42" i="1"/>
  <c r="V35" i="1"/>
  <c r="D37" i="1"/>
  <c r="I41" i="1"/>
  <c r="Z42" i="1"/>
  <c r="S36" i="1"/>
  <c r="J38" i="1"/>
  <c r="U39" i="1"/>
  <c r="C23" i="1"/>
  <c r="X23" i="1"/>
  <c r="F25" i="1"/>
  <c r="U41" i="1"/>
  <c r="M35" i="1"/>
  <c r="F37" i="1"/>
  <c r="S38" i="1"/>
  <c r="Z39" i="1"/>
  <c r="H23" i="1"/>
  <c r="P24" i="1"/>
  <c r="B26" i="1"/>
  <c r="I27" i="1"/>
  <c r="P28" i="1"/>
  <c r="W29" i="1"/>
  <c r="E31" i="1"/>
  <c r="L32" i="1"/>
  <c r="T42" i="1"/>
  <c r="E38" i="1"/>
  <c r="S40" i="1"/>
  <c r="Q25" i="1"/>
  <c r="L27" i="1"/>
  <c r="E29" i="1"/>
  <c r="W30" i="1"/>
  <c r="O32" i="1"/>
  <c r="X42" i="1"/>
  <c r="M37" i="1"/>
  <c r="G39" i="1"/>
  <c r="V40" i="1"/>
  <c r="V24" i="1"/>
  <c r="G26" i="1"/>
  <c r="H27" i="1"/>
  <c r="O28" i="1"/>
  <c r="Q29" i="1"/>
  <c r="S30" i="1"/>
  <c r="Z31" i="1"/>
  <c r="V32" i="1"/>
  <c r="N33" i="1"/>
  <c r="E34" i="1"/>
  <c r="U34" i="1"/>
  <c r="K3" i="1"/>
  <c r="B4" i="1"/>
  <c r="C11" i="10" s="1"/>
  <c r="R4" i="1"/>
  <c r="I5" i="1"/>
  <c r="Y5" i="1"/>
  <c r="J12" i="10" s="1"/>
  <c r="R12" i="10" s="1"/>
  <c r="P6" i="1"/>
  <c r="G7" i="1"/>
  <c r="W7" i="1"/>
  <c r="H14" i="10" s="1"/>
  <c r="T14" i="10" s="1"/>
  <c r="N8" i="1"/>
  <c r="E9" i="1"/>
  <c r="U9" i="1"/>
  <c r="F16" i="10" s="1"/>
  <c r="L10" i="1"/>
  <c r="C11" i="1"/>
  <c r="S11" i="1"/>
  <c r="D18" i="10" s="1"/>
  <c r="J12" i="1"/>
  <c r="Z12" i="1"/>
  <c r="Q13" i="1"/>
  <c r="H14" i="1"/>
  <c r="X14" i="1"/>
  <c r="O15" i="1"/>
  <c r="F16" i="1"/>
  <c r="V16" i="1"/>
  <c r="M17" i="1"/>
  <c r="D18" i="1"/>
  <c r="T18" i="1"/>
  <c r="K19" i="1"/>
  <c r="B20" i="1"/>
  <c r="R20" i="1"/>
  <c r="I21" i="1"/>
  <c r="Y21" i="1"/>
  <c r="P22" i="1"/>
  <c r="H42" i="1"/>
  <c r="R37" i="1"/>
  <c r="J40" i="1"/>
  <c r="W24" i="1"/>
  <c r="X26" i="1"/>
  <c r="F35" i="1"/>
  <c r="T37" i="1"/>
  <c r="W35" i="1"/>
  <c r="E39" i="1"/>
  <c r="S23" i="1"/>
  <c r="V25" i="1"/>
  <c r="J36" i="1"/>
  <c r="J39" i="1"/>
  <c r="Y23" i="1"/>
  <c r="R26" i="1"/>
  <c r="G29" i="1"/>
  <c r="U31" i="1"/>
  <c r="L36" i="1"/>
  <c r="F24" i="1"/>
  <c r="I28" i="1"/>
  <c r="S31" i="1"/>
  <c r="F36" i="1"/>
  <c r="F40" i="1"/>
  <c r="L25" i="1"/>
  <c r="X27" i="1"/>
  <c r="H30" i="1"/>
  <c r="K32" i="1"/>
  <c r="V33" i="1"/>
  <c r="C3" i="1"/>
  <c r="J4" i="1"/>
  <c r="Q5" i="1"/>
  <c r="X6" i="1"/>
  <c r="I13" i="10" s="1"/>
  <c r="U13" i="10" s="1"/>
  <c r="F8" i="1"/>
  <c r="M9" i="1"/>
  <c r="T10" i="1"/>
  <c r="E17" i="10" s="1"/>
  <c r="B12" i="1"/>
  <c r="I13" i="1"/>
  <c r="P14" i="1"/>
  <c r="W15" i="1"/>
  <c r="E17" i="1"/>
  <c r="L18" i="1"/>
  <c r="S19" i="1"/>
  <c r="Z20" i="1"/>
  <c r="H22" i="1"/>
  <c r="Y35" i="1"/>
  <c r="Q23" i="1"/>
  <c r="T27" i="1"/>
  <c r="I30" i="1"/>
  <c r="M32" i="1"/>
  <c r="W33" i="1"/>
  <c r="E3" i="1"/>
  <c r="G4" i="1"/>
  <c r="H5" i="1"/>
  <c r="O6" i="1"/>
  <c r="Q7" i="1"/>
  <c r="S8" i="1"/>
  <c r="D15" i="10" s="1"/>
  <c r="Z9" i="1"/>
  <c r="B11" i="1"/>
  <c r="C18" i="10" s="1"/>
  <c r="D12" i="1"/>
  <c r="Y12" i="1"/>
  <c r="V13" i="1"/>
  <c r="R14" i="1"/>
  <c r="N15" i="1"/>
  <c r="K16" i="1"/>
  <c r="G17" i="1"/>
  <c r="C18" i="1"/>
  <c r="Y18" i="1"/>
  <c r="U19" i="1"/>
  <c r="Q20" i="1"/>
  <c r="N21" i="1"/>
  <c r="J22" i="1"/>
  <c r="C37" i="1"/>
  <c r="Y24" i="1"/>
  <c r="G28" i="1"/>
  <c r="G31" i="1"/>
  <c r="R41" i="1"/>
  <c r="Y37" i="1"/>
  <c r="D26" i="1"/>
  <c r="N29" i="1"/>
  <c r="H33" i="1"/>
  <c r="G37" i="1"/>
  <c r="R24" i="1"/>
  <c r="K28" i="1"/>
  <c r="V31" i="1"/>
  <c r="B34" i="1"/>
  <c r="E4" i="1"/>
  <c r="J5" i="1"/>
  <c r="M6" i="1"/>
  <c r="P7" i="1"/>
  <c r="T8" i="1"/>
  <c r="E15" i="10" s="1"/>
  <c r="W9" i="1"/>
  <c r="H16" i="10" s="1"/>
  <c r="T16" i="10" s="1"/>
  <c r="Z10" i="1"/>
  <c r="E12" i="1"/>
  <c r="H13" i="1"/>
  <c r="K14" i="1"/>
  <c r="P15" i="1"/>
  <c r="S16" i="1"/>
  <c r="V17" i="1"/>
  <c r="Z18" i="1"/>
  <c r="D20" i="1"/>
  <c r="G21" i="1"/>
  <c r="K22" i="1"/>
  <c r="N37" i="1"/>
  <c r="X25" i="1"/>
  <c r="B31" i="1"/>
  <c r="R34" i="1"/>
  <c r="H4" i="1"/>
  <c r="G6" i="1"/>
  <c r="Y7" i="1"/>
  <c r="J14" i="10" s="1"/>
  <c r="R14" i="10" s="1"/>
  <c r="X9" i="1"/>
  <c r="I16" i="10" s="1"/>
  <c r="U16" i="10" s="1"/>
  <c r="Q11" i="1"/>
  <c r="J13" i="1"/>
  <c r="B15" i="1"/>
  <c r="C17" i="1"/>
  <c r="B19" i="1"/>
  <c r="T20" i="1"/>
  <c r="S22" i="1"/>
  <c r="P39" i="1"/>
  <c r="B28" i="1"/>
  <c r="P33" i="1"/>
  <c r="V3" i="1"/>
  <c r="G10" i="10" s="1"/>
  <c r="O5" i="1"/>
  <c r="N7" i="1"/>
  <c r="N9" i="1"/>
  <c r="F11" i="1"/>
  <c r="G13" i="1"/>
  <c r="F15" i="1"/>
  <c r="F17" i="1"/>
  <c r="F19" i="1"/>
  <c r="F21" i="1"/>
  <c r="W22" i="1"/>
  <c r="E30" i="1"/>
  <c r="D3" i="1"/>
  <c r="Z5" i="1"/>
  <c r="U8" i="1"/>
  <c r="F15" i="10" s="1"/>
  <c r="G12" i="1"/>
  <c r="J15" i="1"/>
  <c r="F18" i="1"/>
  <c r="B21" i="1"/>
  <c r="W40" i="1"/>
  <c r="D33" i="1"/>
  <c r="K4" i="1"/>
  <c r="H7" i="1"/>
  <c r="C10" i="1"/>
  <c r="Q12" i="1"/>
  <c r="M15" i="1"/>
  <c r="B18" i="1"/>
  <c r="X20" i="1"/>
  <c r="K36" i="1"/>
  <c r="B24" i="1"/>
  <c r="Z27" i="1"/>
  <c r="K31" i="1"/>
  <c r="X33" i="1"/>
  <c r="F3" i="1"/>
  <c r="I4" i="1"/>
  <c r="L5" i="1"/>
  <c r="Q6" i="1"/>
  <c r="T7" i="1"/>
  <c r="E14" i="10" s="1"/>
  <c r="F9" i="1"/>
  <c r="I10" i="1"/>
  <c r="L11" i="1"/>
  <c r="P12" i="1"/>
  <c r="S13" i="1"/>
  <c r="V14" i="1"/>
  <c r="Z15" i="1"/>
  <c r="D17" i="1"/>
  <c r="G18" i="1"/>
  <c r="L19" i="1"/>
  <c r="O20" i="1"/>
  <c r="R21" i="1"/>
  <c r="S32" i="1"/>
  <c r="T41" i="1"/>
  <c r="I36" i="1"/>
  <c r="Y41" i="1"/>
  <c r="J37" i="1"/>
  <c r="H40" i="1"/>
  <c r="K24" i="1"/>
  <c r="L42" i="1"/>
  <c r="V37" i="1"/>
  <c r="M40" i="1"/>
  <c r="G25" i="1"/>
  <c r="U27" i="1"/>
  <c r="J30" i="1"/>
  <c r="X32" i="1"/>
  <c r="D39" i="1"/>
  <c r="K26" i="1"/>
  <c r="U29" i="1"/>
  <c r="E33" i="1"/>
  <c r="W37" i="1"/>
  <c r="M23" i="1"/>
  <c r="L26" i="1"/>
  <c r="U28" i="1"/>
  <c r="D31" i="1"/>
  <c r="B33" i="1"/>
  <c r="I34" i="1"/>
  <c r="O3" i="1"/>
  <c r="V4" i="1"/>
  <c r="G11" i="10" s="1"/>
  <c r="D6" i="1"/>
  <c r="K7" i="1"/>
  <c r="R8" i="1"/>
  <c r="Y9" i="1"/>
  <c r="J16" i="10" s="1"/>
  <c r="R16" i="10" s="1"/>
  <c r="G11" i="1"/>
  <c r="N12" i="1"/>
  <c r="U13" i="1"/>
  <c r="C15" i="1"/>
  <c r="J16" i="1"/>
  <c r="Q17" i="1"/>
  <c r="X18" i="1"/>
  <c r="F20" i="1"/>
  <c r="M21" i="1"/>
  <c r="T22" i="1"/>
  <c r="L38" i="1"/>
  <c r="M25" i="1"/>
  <c r="Q28" i="1"/>
  <c r="T30" i="1"/>
  <c r="W32" i="1"/>
  <c r="H34" i="1"/>
  <c r="J3" i="1"/>
  <c r="L4" i="1"/>
  <c r="S5" i="1"/>
  <c r="D12" i="10" s="1"/>
  <c r="U6" i="1"/>
  <c r="F13" i="10" s="1"/>
  <c r="V7" i="1"/>
  <c r="G14" i="10" s="1"/>
  <c r="D9" i="1"/>
  <c r="F10" i="1"/>
  <c r="H11" i="1"/>
  <c r="I12" i="1"/>
  <c r="F13" i="1"/>
  <c r="B14" i="1"/>
  <c r="W14" i="1"/>
  <c r="T15" i="1"/>
  <c r="P16" i="1"/>
  <c r="L17" i="1"/>
  <c r="I18" i="1"/>
  <c r="E19" i="1"/>
  <c r="Z19" i="1"/>
  <c r="W20" i="1"/>
  <c r="S21" i="1"/>
  <c r="O22" i="1"/>
  <c r="Q38" i="1"/>
  <c r="P25" i="1"/>
  <c r="D29" i="1"/>
  <c r="C32" i="1"/>
  <c r="N42" i="1"/>
  <c r="H39" i="1"/>
  <c r="Y26" i="1"/>
  <c r="U30" i="1"/>
  <c r="S33" i="1"/>
  <c r="T38" i="1"/>
  <c r="U25" i="1"/>
  <c r="H29" i="1"/>
  <c r="R32" i="1"/>
  <c r="J34" i="1"/>
  <c r="I3" i="1"/>
  <c r="M4" i="1"/>
  <c r="P5" i="1"/>
  <c r="S6" i="1"/>
  <c r="D13" i="10" s="1"/>
  <c r="X7" i="1"/>
  <c r="I14" i="10" s="1"/>
  <c r="U14" i="10" s="1"/>
  <c r="B9" i="1"/>
  <c r="C16" i="10" s="1"/>
  <c r="E10" i="1"/>
  <c r="I11" i="1"/>
  <c r="L12" i="1"/>
  <c r="O13" i="1"/>
  <c r="S14" i="1"/>
  <c r="V15" i="1"/>
  <c r="Y16" i="1"/>
  <c r="E18" i="1"/>
  <c r="H19" i="1"/>
  <c r="K20" i="1"/>
  <c r="O21" i="1"/>
  <c r="R22" i="1"/>
  <c r="Y38" i="1"/>
  <c r="T26" i="1"/>
  <c r="W31" i="1"/>
  <c r="Z34" i="1"/>
  <c r="U4" i="1"/>
  <c r="F11" i="10" s="1"/>
  <c r="N6" i="1"/>
  <c r="O8" i="1"/>
  <c r="G10" i="1"/>
  <c r="Y11" i="1"/>
  <c r="J18" i="10" s="1"/>
  <c r="R18" i="10" s="1"/>
  <c r="X13" i="1"/>
  <c r="Q15" i="1"/>
  <c r="P17" i="1"/>
  <c r="I19" i="1"/>
  <c r="J21" i="1"/>
  <c r="G41" i="1"/>
  <c r="E24" i="1"/>
  <c r="T29" i="1"/>
  <c r="G34" i="1"/>
  <c r="D4" i="1"/>
  <c r="C6" i="1"/>
  <c r="D8" i="1"/>
  <c r="V9" i="1"/>
  <c r="G16" i="10" s="1"/>
  <c r="U11" i="1"/>
  <c r="F18" i="10" s="1"/>
  <c r="T13" i="1"/>
  <c r="U15" i="1"/>
  <c r="T17" i="1"/>
  <c r="T19" i="1"/>
  <c r="L21" i="1"/>
  <c r="U35" i="1"/>
  <c r="M36" i="1"/>
  <c r="O37" i="1"/>
  <c r="O24" i="1"/>
  <c r="B38" i="1"/>
  <c r="K25" i="1"/>
  <c r="N30" i="1"/>
  <c r="L39" i="1"/>
  <c r="Z29" i="1"/>
  <c r="H38" i="1"/>
  <c r="W26" i="1"/>
  <c r="J31" i="1"/>
  <c r="M34" i="1"/>
  <c r="Z4" i="1"/>
  <c r="O7" i="1"/>
  <c r="D10" i="1"/>
  <c r="R12" i="1"/>
  <c r="G15" i="1"/>
  <c r="U17" i="1"/>
  <c r="J20" i="1"/>
  <c r="X22" i="1"/>
  <c r="C26" i="1"/>
  <c r="F31" i="1"/>
  <c r="N34" i="1"/>
  <c r="W4" i="1"/>
  <c r="H11" i="10" s="1"/>
  <c r="T11" i="10" s="1"/>
  <c r="Z6" i="1"/>
  <c r="P37" i="1"/>
  <c r="V38" i="1"/>
  <c r="R25" i="1"/>
  <c r="F39" i="1"/>
  <c r="N26" i="1"/>
  <c r="Q31" i="1"/>
  <c r="R23" i="1"/>
  <c r="N31" i="1"/>
  <c r="O39" i="1"/>
  <c r="S27" i="1"/>
  <c r="F32" i="1"/>
  <c r="Y34" i="1"/>
  <c r="M5" i="1"/>
  <c r="B8" i="1"/>
  <c r="C15" i="10" s="1"/>
  <c r="P10" i="1"/>
  <c r="E13" i="1"/>
  <c r="S15" i="1"/>
  <c r="H18" i="1"/>
  <c r="V20" i="1"/>
  <c r="D35" i="1"/>
  <c r="J27" i="1"/>
  <c r="B32" i="1"/>
  <c r="S34" i="1"/>
  <c r="C5" i="1"/>
  <c r="L7" i="1"/>
  <c r="O9" i="1"/>
  <c r="X11" i="1"/>
  <c r="I18" i="10" s="1"/>
  <c r="U18" i="10" s="1"/>
  <c r="P13" i="1"/>
  <c r="I15" i="1"/>
  <c r="B17" i="1"/>
  <c r="S18" i="1"/>
  <c r="L20" i="1"/>
  <c r="E22" i="1"/>
  <c r="F23" i="1"/>
  <c r="K30" i="1"/>
  <c r="G36" i="1"/>
  <c r="R28" i="1"/>
  <c r="O35" i="1"/>
  <c r="O27" i="1"/>
  <c r="T33" i="1"/>
  <c r="X3" i="1"/>
  <c r="I10" i="10" s="1"/>
  <c r="U10" i="10" s="1"/>
  <c r="F6" i="1"/>
  <c r="L8" i="1"/>
  <c r="S10" i="1"/>
  <c r="D17" i="10" s="1"/>
  <c r="B13" i="1"/>
  <c r="H15" i="1"/>
  <c r="O17" i="1"/>
  <c r="V19" i="1"/>
  <c r="C22" i="1"/>
  <c r="T24" i="1"/>
  <c r="D34" i="1"/>
  <c r="R5" i="1"/>
  <c r="K9" i="1"/>
  <c r="U12" i="1"/>
  <c r="M16" i="1"/>
  <c r="E20" i="1"/>
  <c r="I38" i="1"/>
  <c r="I32" i="1"/>
  <c r="G5" i="1"/>
  <c r="Y8" i="1"/>
  <c r="J15" i="10" s="1"/>
  <c r="R15" i="10" s="1"/>
  <c r="X12" i="1"/>
  <c r="X16" i="1"/>
  <c r="P20" i="1"/>
  <c r="P27" i="1"/>
  <c r="O4" i="1"/>
  <c r="G8" i="1"/>
  <c r="C13" i="1"/>
  <c r="T16" i="1"/>
  <c r="M20" i="1"/>
  <c r="I26" i="1"/>
  <c r="V34" i="1"/>
  <c r="K6" i="1"/>
  <c r="R10" i="1"/>
  <c r="C14" i="1"/>
  <c r="N17" i="1"/>
  <c r="T21" i="1"/>
  <c r="K39" i="1"/>
  <c r="D27" i="1"/>
  <c r="G32" i="1"/>
  <c r="L34" i="1"/>
  <c r="C4" i="1"/>
  <c r="T5" i="1"/>
  <c r="E12" i="10" s="1"/>
  <c r="E7" i="1"/>
  <c r="W8" i="1"/>
  <c r="H15" i="10" s="1"/>
  <c r="T15" i="10" s="1"/>
  <c r="O10" i="1"/>
  <c r="Z11" i="1"/>
  <c r="L13" i="1"/>
  <c r="E15" i="1"/>
  <c r="O16" i="1"/>
  <c r="Z17" i="1"/>
  <c r="R19" i="1"/>
  <c r="D21" i="1"/>
  <c r="V22" i="1"/>
  <c r="X41" i="1"/>
  <c r="E42" i="1"/>
  <c r="L40" i="1"/>
  <c r="Q42" i="1"/>
  <c r="Q40" i="1"/>
  <c r="Y27" i="1"/>
  <c r="B41" i="1"/>
  <c r="P26" i="1"/>
  <c r="F41" i="1"/>
  <c r="Z23" i="1"/>
  <c r="Z28" i="1"/>
  <c r="F33" i="1"/>
  <c r="S3" i="1"/>
  <c r="D10" i="10" s="1"/>
  <c r="H6" i="1"/>
  <c r="V8" i="1"/>
  <c r="G15" i="10" s="1"/>
  <c r="K11" i="1"/>
  <c r="Y13" i="1"/>
  <c r="N16" i="1"/>
  <c r="C19" i="1"/>
  <c r="Q21" i="1"/>
  <c r="C39" i="1"/>
  <c r="B29" i="1"/>
  <c r="L33" i="1"/>
  <c r="P3" i="1"/>
  <c r="X5" i="1"/>
  <c r="I12" i="10" s="1"/>
  <c r="U12" i="10" s="1"/>
  <c r="H8" i="1"/>
  <c r="K10" i="1"/>
  <c r="O12" i="1"/>
  <c r="G14" i="1"/>
  <c r="Y15" i="1"/>
  <c r="R17" i="1"/>
  <c r="J19" i="1"/>
  <c r="C21" i="1"/>
  <c r="U22" i="1"/>
  <c r="O26" i="1"/>
  <c r="Y32" i="1"/>
  <c r="O40" i="1"/>
  <c r="R31" i="1"/>
  <c r="B40" i="1"/>
  <c r="D30" i="1"/>
  <c r="P34" i="1"/>
  <c r="T4" i="1"/>
  <c r="E11" i="10" s="1"/>
  <c r="B7" i="1"/>
  <c r="C14" i="10" s="1"/>
  <c r="H9" i="1"/>
  <c r="P11" i="1"/>
  <c r="W13" i="1"/>
  <c r="D16" i="1"/>
  <c r="K18" i="1"/>
  <c r="S20" i="1"/>
  <c r="Y22" i="1"/>
  <c r="M28" i="1"/>
  <c r="L3" i="1"/>
  <c r="D7" i="1"/>
  <c r="U10" i="1"/>
  <c r="F17" i="10" s="1"/>
  <c r="F14" i="1"/>
  <c r="X17" i="1"/>
  <c r="W21" i="1"/>
  <c r="H25" i="1"/>
  <c r="O34" i="1"/>
  <c r="R6" i="1"/>
  <c r="J10" i="1"/>
  <c r="J14" i="1"/>
  <c r="J18" i="1"/>
  <c r="B22" i="1"/>
  <c r="U33" i="1"/>
  <c r="K5" i="1"/>
  <c r="R9" i="1"/>
  <c r="R13" i="1"/>
  <c r="J17" i="1"/>
  <c r="P21" i="1"/>
  <c r="W28" i="1"/>
  <c r="N3" i="1"/>
  <c r="U7" i="1"/>
  <c r="F14" i="10" s="1"/>
  <c r="N11" i="1"/>
  <c r="Q14" i="1"/>
  <c r="B35" i="1"/>
  <c r="W23" i="1"/>
  <c r="T35" i="1"/>
  <c r="F4" i="1"/>
  <c r="L14" i="1"/>
  <c r="Z40" i="1"/>
  <c r="E6" i="1"/>
  <c r="R11" i="1"/>
  <c r="N18" i="1"/>
  <c r="X21" i="1"/>
  <c r="Y29" i="1"/>
  <c r="V27" i="1"/>
  <c r="S26" i="1"/>
  <c r="Q3" i="1"/>
  <c r="E8" i="1"/>
  <c r="S12" i="1"/>
  <c r="H17" i="1"/>
  <c r="V21" i="1"/>
  <c r="K33" i="1"/>
  <c r="C9" i="1"/>
  <c r="G16" i="1"/>
  <c r="R36" i="1"/>
  <c r="S4" i="1"/>
  <c r="D11" i="10" s="1"/>
  <c r="K12" i="1"/>
  <c r="C20" i="1"/>
  <c r="Y3" i="1"/>
  <c r="J10" i="10" s="1"/>
  <c r="R10" i="10" s="1"/>
  <c r="J11" i="1"/>
  <c r="Q19" i="1"/>
  <c r="Y33" i="1"/>
  <c r="G9" i="1"/>
  <c r="Q16" i="1"/>
  <c r="Q22" i="1"/>
  <c r="O30" i="1"/>
  <c r="X4" i="1"/>
  <c r="I11" i="10" s="1"/>
  <c r="U11" i="10" s="1"/>
  <c r="L9" i="1"/>
  <c r="D13" i="1"/>
  <c r="K17" i="1"/>
  <c r="K21" i="1"/>
  <c r="D25" i="1"/>
  <c r="Z16" i="1"/>
  <c r="M8" i="1"/>
  <c r="E16" i="1"/>
  <c r="Z22" i="1"/>
  <c r="N32" i="1"/>
  <c r="B5" i="1"/>
  <c r="C12" i="10" s="1"/>
  <c r="E14" i="1"/>
  <c r="D42" i="1"/>
  <c r="D11" i="1"/>
  <c r="Y6" i="1"/>
  <c r="J13" i="10" s="1"/>
  <c r="R13" i="10" s="1"/>
  <c r="I22" i="1"/>
  <c r="N14" i="1"/>
  <c r="Y4" i="1"/>
  <c r="J11" i="10" s="1"/>
  <c r="R11" i="10" s="1"/>
  <c r="W18" i="1"/>
  <c r="H26" i="1"/>
  <c r="M3" i="1"/>
  <c r="S9" i="1"/>
  <c r="D16" i="10" s="1"/>
  <c r="Z13" i="1"/>
  <c r="S17" i="1"/>
  <c r="G22" i="1"/>
  <c r="O23" i="1"/>
  <c r="V29" i="1"/>
  <c r="O19" i="1"/>
  <c r="J9" i="1"/>
  <c r="U16" i="1"/>
  <c r="X39" i="1"/>
  <c r="V41" i="1"/>
  <c r="W5" i="1"/>
  <c r="H12" i="10" s="1"/>
  <c r="T12" i="10" s="1"/>
  <c r="Z14" i="1"/>
  <c r="G40" i="1"/>
  <c r="M12" i="1"/>
  <c r="D36" i="1"/>
  <c r="C28" i="1"/>
  <c r="R33" i="1"/>
  <c r="W11" i="1"/>
  <c r="H18" i="10" s="1"/>
  <c r="T18" i="10" s="1"/>
  <c r="D22" i="1"/>
  <c r="Z3" i="1"/>
  <c r="V10" i="1"/>
  <c r="G17" i="10" s="1"/>
  <c r="M14" i="1"/>
  <c r="W17" i="1"/>
  <c r="H21" i="1"/>
  <c r="K27" i="1"/>
  <c r="M24" i="1"/>
  <c r="I23" i="1"/>
  <c r="W34" i="1"/>
  <c r="I7" i="1"/>
  <c r="V11" i="1"/>
  <c r="G18" i="10" s="1"/>
  <c r="L16" i="1"/>
  <c r="Y20" i="1"/>
  <c r="I29" i="1"/>
  <c r="R7" i="1"/>
  <c r="U14" i="1"/>
  <c r="F22" i="1"/>
  <c r="H3" i="1"/>
  <c r="Y10" i="1"/>
  <c r="J17" i="10" s="1"/>
  <c r="R17" i="10" s="1"/>
  <c r="Q18" i="1"/>
  <c r="K34" i="1"/>
  <c r="N10" i="1"/>
  <c r="U18" i="1"/>
  <c r="P30" i="1"/>
  <c r="Q8" i="1"/>
  <c r="C16" i="1"/>
  <c r="I20" i="1"/>
  <c r="R40" i="1"/>
  <c r="R29" i="1"/>
  <c r="F34" i="1"/>
  <c r="P4" i="1"/>
  <c r="I6" i="1"/>
  <c r="P8" i="1"/>
  <c r="W10" i="1"/>
  <c r="H17" i="10" s="1"/>
  <c r="T17" i="10" s="1"/>
  <c r="W12" i="1"/>
  <c r="O14" i="1"/>
  <c r="W16" i="1"/>
  <c r="V18" i="1"/>
  <c r="U20" i="1"/>
  <c r="E25" i="1"/>
  <c r="T34" i="1"/>
  <c r="W6" i="1"/>
  <c r="H13" i="10" s="1"/>
  <c r="T13" i="10" s="1"/>
  <c r="E11" i="1"/>
  <c r="L15" i="1"/>
  <c r="D19" i="1"/>
  <c r="Q35" i="1"/>
  <c r="C29" i="1"/>
  <c r="T6" i="1"/>
  <c r="E13" i="10" s="1"/>
  <c r="M29" i="1"/>
  <c r="T12" i="1"/>
  <c r="P19" i="1"/>
  <c r="M33" i="1"/>
  <c r="Y30" i="1"/>
  <c r="P9" i="1"/>
  <c r="R18" i="1"/>
  <c r="R3" i="1"/>
  <c r="M18" i="1"/>
  <c r="F27" i="1"/>
  <c r="Y14" i="1"/>
  <c r="V6" i="1"/>
  <c r="G13" i="10" s="1"/>
  <c r="M22" i="1"/>
  <c r="C12" i="1"/>
  <c r="R42" i="1"/>
  <c r="C33" i="1"/>
  <c r="F5" i="1"/>
  <c r="M7" i="1"/>
  <c r="T11" i="1"/>
  <c r="E18" i="10" s="1"/>
  <c r="R15" i="1"/>
  <c r="Y19" i="1"/>
  <c r="B36" i="1"/>
  <c r="I9" i="1"/>
  <c r="Q33" i="1"/>
  <c r="K13" i="1"/>
  <c r="G20" i="1"/>
  <c r="K35" i="1"/>
  <c r="I33" i="1"/>
  <c r="M10" i="1"/>
  <c r="N19" i="1"/>
  <c r="D5" i="1"/>
  <c r="L31" i="1"/>
  <c r="J7" i="1"/>
  <c r="N13" i="1"/>
  <c r="O33" i="1"/>
  <c r="B10" i="1"/>
  <c r="C17" i="10" s="1"/>
  <c r="O18" i="1"/>
  <c r="I14" i="1"/>
  <c r="X19" i="1"/>
  <c r="V5" i="1"/>
  <c r="G12" i="10" s="1"/>
  <c r="H16" i="1"/>
  <c r="K8" i="1"/>
  <c r="X15" i="1"/>
  <c r="M19" i="1"/>
  <c r="T3" i="1"/>
  <c r="E10" i="10" s="1"/>
  <c r="H12" i="1"/>
  <c r="H20" i="1"/>
  <c r="I16" i="1"/>
  <c r="Y42" i="1"/>
  <c r="D38" i="1"/>
  <c r="B6" i="1"/>
  <c r="C13" i="10" s="1"/>
  <c r="N22" i="1"/>
  <c r="N23" i="1"/>
  <c r="V28" i="1"/>
  <c r="I8" i="1"/>
  <c r="Z21" i="1"/>
  <c r="Z7" i="1"/>
  <c r="Z38" i="1"/>
  <c r="K12" i="10" l="1"/>
  <c r="L12" i="10" s="1"/>
  <c r="K13" i="10"/>
  <c r="L13" i="10" s="1"/>
  <c r="S13" i="10"/>
  <c r="K17" i="10"/>
  <c r="L17" i="10" s="1"/>
  <c r="K15" i="10"/>
  <c r="L15" i="10" s="1"/>
  <c r="K11" i="10"/>
  <c r="K16" i="10"/>
  <c r="K14" i="10"/>
  <c r="K18" i="10"/>
  <c r="K10" i="10"/>
  <c r="Q10" i="10" s="1"/>
  <c r="S11" i="10"/>
  <c r="S16" i="10"/>
  <c r="S14" i="10"/>
  <c r="S17" i="10"/>
  <c r="S18" i="10"/>
  <c r="K3" i="10"/>
  <c r="P61" i="11"/>
  <c r="N61" i="11" s="1"/>
  <c r="P63" i="11"/>
  <c r="N63" i="11" s="1"/>
  <c r="P65" i="11"/>
  <c r="N65" i="11" s="1"/>
  <c r="D65" i="11"/>
  <c r="B65" i="11" s="1"/>
  <c r="P62" i="11"/>
  <c r="N62" i="11" s="1"/>
  <c r="V10" i="10"/>
  <c r="V18" i="10"/>
  <c r="V16" i="10"/>
  <c r="V11" i="10"/>
  <c r="V17" i="10"/>
  <c r="V13" i="10"/>
  <c r="V12" i="10"/>
  <c r="V14" i="10"/>
  <c r="V15" i="10"/>
  <c r="N12" i="10" l="1"/>
  <c r="N13" i="10"/>
  <c r="N17" i="10"/>
  <c r="N15" i="10"/>
  <c r="L10" i="10"/>
  <c r="N10" i="10" s="1"/>
  <c r="L18" i="10"/>
  <c r="N18" i="10" s="1"/>
  <c r="L14" i="10"/>
  <c r="N14" i="10" s="1"/>
  <c r="L16" i="10"/>
  <c r="N16" i="10" s="1"/>
  <c r="L11" i="10"/>
  <c r="N11" i="10" s="1"/>
  <c r="Q18" i="10"/>
  <c r="Q14" i="10"/>
  <c r="S12" i="10"/>
  <c r="S15" i="10"/>
  <c r="Q12" i="10"/>
  <c r="Q16" i="10"/>
  <c r="Q17" i="10"/>
  <c r="Q15" i="10"/>
  <c r="Q13" i="10"/>
  <c r="M19" i="10"/>
  <c r="S10" i="10"/>
  <c r="Q11" i="10"/>
  <c r="A10" i="10" l="1"/>
  <c r="A16" i="10"/>
  <c r="A12" i="10"/>
  <c r="A15" i="10"/>
  <c r="A11" i="10"/>
  <c r="A18" i="10"/>
  <c r="A14" i="10"/>
  <c r="A17" i="10"/>
  <c r="A13" i="10"/>
  <c r="P52" i="11" l="1"/>
  <c r="P49" i="11"/>
  <c r="P51" i="11"/>
  <c r="D54" i="11"/>
  <c r="D52" i="11"/>
  <c r="D50" i="11"/>
  <c r="D11" i="9"/>
  <c r="H11" i="9"/>
  <c r="K11" i="9"/>
  <c r="F12" i="9"/>
  <c r="D13" i="9"/>
  <c r="H13" i="9"/>
  <c r="K13" i="9"/>
  <c r="F14" i="9"/>
  <c r="D15" i="9"/>
  <c r="H15" i="9"/>
  <c r="K15" i="9"/>
  <c r="F16" i="9"/>
  <c r="D17" i="9"/>
  <c r="H17" i="9"/>
  <c r="K17" i="9"/>
  <c r="F18" i="9"/>
  <c r="L10" i="9"/>
  <c r="I10" i="9"/>
  <c r="E10" i="9"/>
  <c r="D12" i="9"/>
  <c r="K12" i="9"/>
  <c r="H14" i="9"/>
  <c r="F15" i="9"/>
  <c r="D16" i="9"/>
  <c r="K16" i="9"/>
  <c r="K18" i="9"/>
  <c r="G10" i="9"/>
  <c r="G11" i="9"/>
  <c r="E12" i="9"/>
  <c r="L12" i="9"/>
  <c r="E14" i="9"/>
  <c r="L14" i="9"/>
  <c r="J15" i="9"/>
  <c r="I16" i="9"/>
  <c r="G17" i="9"/>
  <c r="J17" i="9"/>
  <c r="I18" i="9"/>
  <c r="F10" i="9"/>
  <c r="E11" i="9"/>
  <c r="I11" i="9"/>
  <c r="L11" i="9"/>
  <c r="G12" i="9"/>
  <c r="J12" i="9"/>
  <c r="E13" i="9"/>
  <c r="I13" i="9"/>
  <c r="L13" i="9"/>
  <c r="G14" i="9"/>
  <c r="J14" i="9"/>
  <c r="E15" i="9"/>
  <c r="I15" i="9"/>
  <c r="L15" i="9"/>
  <c r="G16" i="9"/>
  <c r="J16" i="9"/>
  <c r="E17" i="9"/>
  <c r="I17" i="9"/>
  <c r="L17" i="9"/>
  <c r="G18" i="9"/>
  <c r="J18" i="9"/>
  <c r="K10" i="9"/>
  <c r="H10" i="9"/>
  <c r="D10" i="9"/>
  <c r="F11" i="9"/>
  <c r="H12" i="9"/>
  <c r="F13" i="9"/>
  <c r="D14" i="9"/>
  <c r="K14" i="9"/>
  <c r="H16" i="9"/>
  <c r="F17" i="9"/>
  <c r="D18" i="9"/>
  <c r="H18" i="9"/>
  <c r="J10" i="9"/>
  <c r="J11" i="9"/>
  <c r="I12" i="9"/>
  <c r="G13" i="9"/>
  <c r="J13" i="9"/>
  <c r="I14" i="9"/>
  <c r="G15" i="9"/>
  <c r="E16" i="9"/>
  <c r="L16" i="9"/>
  <c r="E18" i="9"/>
  <c r="L18" i="9"/>
  <c r="D63" i="11"/>
  <c r="D53" i="11"/>
  <c r="D64" i="11"/>
  <c r="P64" i="11"/>
  <c r="N64" i="11" s="1"/>
  <c r="D51" i="11"/>
  <c r="P50" i="11"/>
  <c r="D62" i="11"/>
  <c r="D66" i="11"/>
  <c r="C11" i="9"/>
  <c r="C10" i="9"/>
  <c r="C13" i="9"/>
  <c r="C17" i="9"/>
  <c r="C15" i="9"/>
  <c r="C14" i="9"/>
  <c r="C12" i="9"/>
  <c r="C16" i="9"/>
  <c r="C18" i="9"/>
  <c r="M14" i="9" l="1"/>
  <c r="N14" i="9" s="1"/>
  <c r="M15" i="9"/>
  <c r="N15" i="9" s="1"/>
  <c r="M11" i="9"/>
  <c r="N11" i="9" s="1"/>
  <c r="M18" i="9"/>
  <c r="N18" i="9" s="1"/>
  <c r="M12" i="9"/>
  <c r="N12" i="9" s="1"/>
  <c r="M17" i="9"/>
  <c r="N17" i="9" s="1"/>
  <c r="M13" i="9"/>
  <c r="N13" i="9" s="1"/>
  <c r="M16" i="9"/>
  <c r="N16" i="9" s="1"/>
  <c r="M10" i="9"/>
  <c r="N10" i="9" s="1"/>
  <c r="B51" i="11"/>
  <c r="B50" i="11"/>
  <c r="B54" i="11"/>
  <c r="N49" i="11"/>
  <c r="B53" i="11"/>
  <c r="B52" i="11"/>
  <c r="B64" i="11"/>
  <c r="N50" i="11"/>
  <c r="N51" i="11"/>
  <c r="N52" i="11"/>
  <c r="B66" i="11"/>
  <c r="B62" i="11"/>
  <c r="B63" i="11"/>
  <c r="L19" i="9"/>
  <c r="H19" i="9"/>
  <c r="O12" i="11" l="1"/>
  <c r="O10" i="11"/>
  <c r="O11" i="11"/>
  <c r="A10" i="9"/>
  <c r="C13" i="11"/>
  <c r="C10" i="11"/>
  <c r="C11" i="11"/>
  <c r="C12" i="11"/>
  <c r="D19" i="9"/>
  <c r="I19" i="9"/>
  <c r="O9" i="11"/>
  <c r="C9" i="11"/>
  <c r="L9" i="11" s="1"/>
  <c r="V12" i="11" l="1"/>
  <c r="W12" i="11"/>
  <c r="P12" i="11"/>
  <c r="T12" i="11"/>
  <c r="U12" i="11"/>
  <c r="X12" i="11"/>
  <c r="Q12" i="11"/>
  <c r="R12" i="11"/>
  <c r="S12" i="11"/>
  <c r="K9" i="11"/>
  <c r="T9" i="11"/>
  <c r="S9" i="11"/>
  <c r="R9" i="11"/>
  <c r="X9" i="11"/>
  <c r="W9" i="11"/>
  <c r="V9" i="11"/>
  <c r="U9" i="11"/>
  <c r="Q9" i="11"/>
  <c r="P9" i="11"/>
  <c r="J12" i="11"/>
  <c r="K12" i="11"/>
  <c r="E12" i="11"/>
  <c r="F12" i="11"/>
  <c r="G12" i="11"/>
  <c r="L12" i="11"/>
  <c r="D12" i="11"/>
  <c r="H12" i="11"/>
  <c r="I12" i="11"/>
  <c r="G11" i="11"/>
  <c r="H11" i="11"/>
  <c r="E11" i="11"/>
  <c r="F11" i="11"/>
  <c r="I11" i="11"/>
  <c r="J11" i="11"/>
  <c r="K11" i="11"/>
  <c r="L11" i="11"/>
  <c r="D11" i="11"/>
  <c r="D10" i="11"/>
  <c r="E10" i="11"/>
  <c r="I10" i="11"/>
  <c r="J10" i="11"/>
  <c r="F10" i="11"/>
  <c r="G10" i="11"/>
  <c r="H10" i="11"/>
  <c r="K10" i="11"/>
  <c r="L10" i="11"/>
  <c r="E13" i="11"/>
  <c r="F13" i="11"/>
  <c r="G13" i="11"/>
  <c r="K13" i="11"/>
  <c r="L13" i="11"/>
  <c r="D13" i="11"/>
  <c r="H13" i="11"/>
  <c r="I13" i="11"/>
  <c r="J13" i="11"/>
  <c r="S11" i="11"/>
  <c r="T11" i="11"/>
  <c r="P11" i="11"/>
  <c r="U11" i="11"/>
  <c r="V11" i="11"/>
  <c r="W11" i="11"/>
  <c r="X11" i="11"/>
  <c r="Q11" i="11"/>
  <c r="R11" i="11"/>
  <c r="P10" i="11"/>
  <c r="Q10" i="11"/>
  <c r="U10" i="11"/>
  <c r="W10" i="11"/>
  <c r="X10" i="11"/>
  <c r="R10" i="11"/>
  <c r="S10" i="11"/>
  <c r="T10" i="11"/>
  <c r="V10" i="11"/>
  <c r="J9" i="11"/>
  <c r="I9" i="11"/>
  <c r="E9" i="11"/>
  <c r="H9" i="11"/>
  <c r="G9" i="11"/>
  <c r="F9" i="11"/>
  <c r="D9" i="11"/>
  <c r="A14" i="9"/>
  <c r="A16" i="9"/>
  <c r="A15" i="9"/>
  <c r="A11" i="9"/>
  <c r="A18" i="9"/>
  <c r="A12" i="9"/>
  <c r="A13" i="9"/>
  <c r="A17" i="9"/>
  <c r="Q17" i="9" l="1"/>
  <c r="W17" i="9" s="1"/>
  <c r="Q13" i="9"/>
  <c r="T13" i="9" s="1"/>
  <c r="Q12" i="9"/>
  <c r="T12" i="9" s="1"/>
  <c r="Q15" i="9"/>
  <c r="V15" i="9" s="1"/>
  <c r="Q16" i="9"/>
  <c r="X16" i="9" s="1"/>
  <c r="Q18" i="9"/>
  <c r="X18" i="9" s="1"/>
  <c r="Q11" i="9"/>
  <c r="T11" i="9" s="1"/>
  <c r="Q14" i="9"/>
  <c r="X14" i="9" s="1"/>
  <c r="Q10" i="9"/>
  <c r="X10" i="9" s="1"/>
  <c r="X15" i="9" l="1"/>
  <c r="X11" i="9"/>
  <c r="X12" i="9"/>
  <c r="X13" i="9"/>
  <c r="AB13" i="9" s="1"/>
  <c r="X17" i="9"/>
  <c r="AB10" i="9"/>
  <c r="V10" i="9"/>
  <c r="W10" i="9"/>
  <c r="U10" i="9"/>
  <c r="V13" i="9"/>
  <c r="T10" i="9"/>
  <c r="W13" i="9"/>
  <c r="U13" i="9"/>
  <c r="T14" i="9"/>
  <c r="U14" i="9"/>
  <c r="V14" i="9"/>
  <c r="W14" i="9"/>
  <c r="U12" i="9"/>
  <c r="W12" i="9"/>
  <c r="W18" i="9"/>
  <c r="T16" i="9"/>
  <c r="AB16" i="9" s="1"/>
  <c r="V12" i="9"/>
  <c r="W11" i="9"/>
  <c r="V18" i="9"/>
  <c r="T18" i="9"/>
  <c r="U15" i="9"/>
  <c r="U16" i="9"/>
  <c r="U18" i="9"/>
  <c r="V11" i="9"/>
  <c r="T17" i="9"/>
  <c r="U11" i="9"/>
  <c r="W15" i="9"/>
  <c r="T15" i="9"/>
  <c r="U17" i="9"/>
  <c r="V16" i="9"/>
  <c r="V17" i="9"/>
  <c r="W16" i="9"/>
  <c r="AB11" i="9" l="1"/>
  <c r="AB15" i="9"/>
  <c r="AB12" i="9"/>
  <c r="AB14" i="9"/>
  <c r="AB18" i="9"/>
  <c r="AB17" i="9"/>
  <c r="Y19" i="9"/>
</calcChain>
</file>

<file path=xl/sharedStrings.xml><?xml version="1.0" encoding="utf-8"?>
<sst xmlns="http://schemas.openxmlformats.org/spreadsheetml/2006/main" count="211" uniqueCount="78">
  <si>
    <t>Puntaje</t>
  </si>
  <si>
    <t>Partido ganado</t>
  </si>
  <si>
    <t>Partido empatado</t>
  </si>
  <si>
    <t>Partido perdido</t>
  </si>
  <si>
    <t>J</t>
  </si>
  <si>
    <t>G</t>
  </si>
  <si>
    <t>E</t>
  </si>
  <si>
    <t>P</t>
  </si>
  <si>
    <t>GF</t>
  </si>
  <si>
    <t>GC</t>
  </si>
  <si>
    <t>DF</t>
  </si>
  <si>
    <t>Pts.</t>
  </si>
  <si>
    <t>Equipo</t>
  </si>
  <si>
    <t>Local</t>
  </si>
  <si>
    <t>Visitante</t>
  </si>
  <si>
    <t>Total</t>
  </si>
  <si>
    <t>Positivo=Ganado; Negativo=Perdido; Cero=Empate</t>
  </si>
  <si>
    <t>Posicion</t>
  </si>
  <si>
    <t>Equipos</t>
  </si>
  <si>
    <t>Ranking</t>
  </si>
  <si>
    <t>Cantidad de Equipos</t>
  </si>
  <si>
    <t>Pos</t>
  </si>
  <si>
    <t>Equipo 25</t>
  </si>
  <si>
    <t>Equipo 26</t>
  </si>
  <si>
    <t>Equipo 27</t>
  </si>
  <si>
    <t>Equipo 28</t>
  </si>
  <si>
    <t>Equipo 29</t>
  </si>
  <si>
    <t>Equipo 30</t>
  </si>
  <si>
    <t>Equipo 31</t>
  </si>
  <si>
    <t>Equipo 32</t>
  </si>
  <si>
    <t>Equipo 33</t>
  </si>
  <si>
    <t>Equipo 34</t>
  </si>
  <si>
    <t>Equipo 35</t>
  </si>
  <si>
    <t>Equipo 36</t>
  </si>
  <si>
    <t>Equipo 37</t>
  </si>
  <si>
    <t>Equipo 38</t>
  </si>
  <si>
    <t>Equipo 39</t>
  </si>
  <si>
    <t>Equipo 40</t>
  </si>
  <si>
    <t>Juventus A</t>
  </si>
  <si>
    <t>Juventus B</t>
  </si>
  <si>
    <t>Estrella del Real</t>
  </si>
  <si>
    <t>Gremio</t>
  </si>
  <si>
    <t>Colonia San Jacintera</t>
  </si>
  <si>
    <t>San Antonio</t>
  </si>
  <si>
    <t>Joe Frank</t>
  </si>
  <si>
    <t>Dementes</t>
  </si>
  <si>
    <t>Rokata</t>
  </si>
  <si>
    <t>Los Amigos</t>
  </si>
  <si>
    <t>FP</t>
  </si>
  <si>
    <t>Sinfónica FC</t>
  </si>
  <si>
    <t>TORNEO SOCORRO SENIOR MASTER PLUS 40 
(Tabla de Posiciones)</t>
  </si>
  <si>
    <t>Familia Real</t>
  </si>
  <si>
    <t>Goles Recibidos</t>
  </si>
  <si>
    <t>TORNEO SOCORRO SENIOR MASTER PLUS 40 
(Valla Menos Vencida)</t>
  </si>
  <si>
    <t>Heroicos</t>
  </si>
  <si>
    <r>
      <t xml:space="preserve">TORNEO SOCORRO SENIOR MASTER PLUS 40 
(Tabla de Posiciones)
</t>
    </r>
    <r>
      <rPr>
        <b/>
        <i/>
        <sz val="10"/>
        <rFont val="News701 BT"/>
        <family val="1"/>
      </rPr>
      <t>Grupo A</t>
    </r>
  </si>
  <si>
    <r>
      <t xml:space="preserve">TORNEO SOCORRO SENIOR MASTER PLUS 40 
(Tabla de Posiciones)
</t>
    </r>
    <r>
      <rPr>
        <b/>
        <i/>
        <sz val="10"/>
        <rFont val="News701 BT"/>
        <family val="1"/>
      </rPr>
      <t>Grupo B</t>
    </r>
  </si>
  <si>
    <t>Grupo A</t>
  </si>
  <si>
    <t>Grupo B</t>
  </si>
  <si>
    <t>Grupo C</t>
  </si>
  <si>
    <t>Grupo D</t>
  </si>
  <si>
    <t>Res.</t>
  </si>
  <si>
    <t>Semifinal 1</t>
  </si>
  <si>
    <t>Semifinal 2</t>
  </si>
  <si>
    <t>Final Liguilla</t>
  </si>
  <si>
    <t>Sum GC</t>
  </si>
  <si>
    <t>SI(C9="Juventus B";BUSCARV(C9;'Para Cuadrar'!$C$10:$L$28;9;FALSO)+1;SI(C9="Los Amigos";BUSCARV(C9;'Para Cuadrar'!$C$10:$L$28;9;FALSO)+0,75;SI(C9="Estrella del Real";BUSCARV(C9;'Para Cuadrar'!$C$10:$L$28;9;FALSO)+0,5;0,25)))</t>
  </si>
  <si>
    <t>Clase Aparte</t>
  </si>
  <si>
    <t>Inter de Cartagena</t>
  </si>
  <si>
    <t>Pen.</t>
  </si>
  <si>
    <t>Palmo FC</t>
  </si>
  <si>
    <t>Zamba</t>
  </si>
  <si>
    <t>Palmo Fc</t>
  </si>
  <si>
    <t>9</t>
  </si>
  <si>
    <t>Mate Bolivar FC</t>
  </si>
  <si>
    <t>Colonia Carmera</t>
  </si>
  <si>
    <t>Inter de cartagena</t>
  </si>
  <si>
    <t>BUSCARV(C10,'[Torneo Socorro 2025 - 2026.xlsx]FairPlay'!$A$4:$B$18,2,0)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</si>
</sst>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6" x14ac:knownFonts="1">
    <font>
      <sz val="10"/>
      <name val="Arial"/>
      <charset val="177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i/>
      <sz val="10"/>
      <name val="News701 BT"/>
      <family val="1"/>
    </font>
    <font>
      <b/>
      <i/>
      <sz val="10"/>
      <name val="News701 BT"/>
      <family val="1"/>
    </font>
    <font>
      <sz val="11"/>
      <color rgb="FFFF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BF9000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C55A1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140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shrinkToFit="1"/>
    </xf>
    <xf numFmtId="0" fontId="5" fillId="4" borderId="1" xfId="0" applyFont="1" applyFill="1" applyBorder="1" applyAlignment="1">
      <alignment horizontal="center"/>
    </xf>
    <xf numFmtId="0" fontId="0" fillId="0" borderId="2" xfId="0" applyBorder="1"/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0" fillId="0" borderId="3" xfId="0" applyBorder="1"/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49" fontId="0" fillId="0" borderId="0" xfId="0" applyNumberFormat="1" applyAlignment="1">
      <alignment shrinkToFit="1"/>
    </xf>
    <xf numFmtId="49" fontId="0" fillId="0" borderId="4" xfId="0" applyNumberFormat="1" applyBorder="1" applyAlignment="1">
      <alignment shrinkToFit="1"/>
    </xf>
    <xf numFmtId="0" fontId="0" fillId="0" borderId="4" xfId="0" applyBorder="1" applyAlignment="1">
      <alignment shrinkToFit="1"/>
    </xf>
    <xf numFmtId="49" fontId="0" fillId="0" borderId="1" xfId="0" applyNumberFormat="1" applyBorder="1" applyAlignment="1">
      <alignment shrinkToFit="1"/>
    </xf>
    <xf numFmtId="0" fontId="0" fillId="0" borderId="1" xfId="0" applyBorder="1" applyAlignment="1">
      <alignment shrinkToFit="1"/>
    </xf>
    <xf numFmtId="49" fontId="0" fillId="0" borderId="1" xfId="0" applyNumberFormat="1" applyBorder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49" fontId="0" fillId="5" borderId="5" xfId="0" applyNumberFormat="1" applyFill="1" applyBorder="1"/>
    <xf numFmtId="49" fontId="0" fillId="2" borderId="6" xfId="0" applyNumberFormat="1" applyFill="1" applyBorder="1" applyAlignment="1">
      <alignment vertical="center" textRotation="255"/>
    </xf>
    <xf numFmtId="0" fontId="5" fillId="0" borderId="1" xfId="0" applyFont="1" applyBorder="1" applyAlignment="1">
      <alignment vertical="center"/>
    </xf>
    <xf numFmtId="0" fontId="0" fillId="0" borderId="1" xfId="0" applyBorder="1" applyAlignment="1">
      <alignment horizontal="center"/>
    </xf>
    <xf numFmtId="3" fontId="0" fillId="0" borderId="1" xfId="0" applyNumberFormat="1" applyBorder="1"/>
    <xf numFmtId="49" fontId="3" fillId="0" borderId="1" xfId="0" applyNumberFormat="1" applyFont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8" fillId="6" borderId="1" xfId="0" applyNumberFormat="1" applyFont="1" applyFill="1" applyBorder="1" applyAlignment="1">
      <alignment horizontal="center"/>
    </xf>
    <xf numFmtId="0" fontId="3" fillId="0" borderId="1" xfId="0" applyFont="1" applyBorder="1"/>
    <xf numFmtId="0" fontId="0" fillId="6" borderId="0" xfId="0" applyFill="1"/>
    <xf numFmtId="0" fontId="0" fillId="6" borderId="1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/>
    </xf>
    <xf numFmtId="0" fontId="0" fillId="6" borderId="1" xfId="0" applyFill="1" applyBorder="1"/>
    <xf numFmtId="0" fontId="9" fillId="7" borderId="1" xfId="0" applyFont="1" applyFill="1" applyBorder="1" applyAlignment="1">
      <alignment horizontal="center"/>
    </xf>
    <xf numFmtId="0" fontId="9" fillId="7" borderId="2" xfId="0" applyFont="1" applyFill="1" applyBorder="1" applyAlignment="1">
      <alignment horizontal="center"/>
    </xf>
    <xf numFmtId="0" fontId="3" fillId="6" borderId="0" xfId="0" applyFont="1" applyFill="1"/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shrinkToFit="1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3" fontId="0" fillId="6" borderId="0" xfId="0" applyNumberFormat="1" applyFill="1"/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 vertical="center"/>
    </xf>
    <xf numFmtId="0" fontId="9" fillId="7" borderId="15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3" fontId="5" fillId="0" borderId="1" xfId="0" applyNumberFormat="1" applyFont="1" applyBorder="1"/>
    <xf numFmtId="1" fontId="0" fillId="0" borderId="0" xfId="0" applyNumberFormat="1"/>
    <xf numFmtId="0" fontId="0" fillId="6" borderId="0" xfId="0" applyFill="1" applyAlignment="1">
      <alignment horizontal="center" vertical="center"/>
    </xf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/>
    <xf numFmtId="0" fontId="5" fillId="0" borderId="0" xfId="0" applyFont="1" applyAlignment="1">
      <alignment horizontal="center"/>
    </xf>
    <xf numFmtId="0" fontId="10" fillId="6" borderId="0" xfId="0" applyFont="1" applyFill="1" applyAlignment="1">
      <alignment horizontal="center" vertical="center"/>
    </xf>
    <xf numFmtId="0" fontId="13" fillId="10" borderId="1" xfId="1" applyFont="1" applyFill="1" applyBorder="1" applyAlignment="1">
      <alignment horizontal="center" vertical="center" wrapText="1" readingOrder="1"/>
    </xf>
    <xf numFmtId="0" fontId="2" fillId="0" borderId="1" xfId="1" applyBorder="1" applyAlignment="1">
      <alignment horizontal="center" wrapText="1" readingOrder="1"/>
    </xf>
    <xf numFmtId="0" fontId="13" fillId="11" borderId="1" xfId="1" applyFont="1" applyFill="1" applyBorder="1" applyAlignment="1">
      <alignment horizontal="center" wrapText="1" readingOrder="1"/>
    </xf>
    <xf numFmtId="0" fontId="2" fillId="0" borderId="9" xfId="1" applyBorder="1" applyAlignment="1">
      <alignment horizontal="center" wrapText="1" readingOrder="1"/>
    </xf>
    <xf numFmtId="0" fontId="13" fillId="9" borderId="1" xfId="1" applyFont="1" applyFill="1" applyBorder="1" applyAlignment="1">
      <alignment horizontal="center" vertical="center" wrapText="1" readingOrder="1"/>
    </xf>
    <xf numFmtId="0" fontId="14" fillId="12" borderId="1" xfId="1" applyFont="1" applyFill="1" applyBorder="1" applyAlignment="1">
      <alignment horizontal="center" vertical="center" wrapText="1" readingOrder="1"/>
    </xf>
    <xf numFmtId="0" fontId="13" fillId="14" borderId="1" xfId="1" applyFont="1" applyFill="1" applyBorder="1" applyAlignment="1">
      <alignment horizontal="center" wrapText="1" readingOrder="1"/>
    </xf>
    <xf numFmtId="0" fontId="2" fillId="0" borderId="11" xfId="1" applyBorder="1" applyAlignment="1">
      <alignment horizontal="center" wrapText="1" readingOrder="1"/>
    </xf>
    <xf numFmtId="0" fontId="2" fillId="0" borderId="7" xfId="1" applyBorder="1" applyAlignment="1">
      <alignment horizontal="center" wrapText="1" readingOrder="1"/>
    </xf>
    <xf numFmtId="0" fontId="12" fillId="0" borderId="6" xfId="1" applyFont="1" applyBorder="1" applyAlignment="1">
      <alignment horizontal="center" vertical="center" wrapText="1" readingOrder="1"/>
    </xf>
    <xf numFmtId="0" fontId="2" fillId="0" borderId="6" xfId="1" applyBorder="1" applyAlignment="1">
      <alignment horizontal="center" wrapText="1" readingOrder="1"/>
    </xf>
    <xf numFmtId="0" fontId="12" fillId="0" borderId="6" xfId="1" applyFont="1" applyBorder="1" applyAlignment="1">
      <alignment horizontal="center" wrapText="1" readingOrder="1"/>
    </xf>
    <xf numFmtId="0" fontId="2" fillId="0" borderId="0" xfId="1" applyAlignment="1">
      <alignment horizontal="center" wrapText="1" readingOrder="1"/>
    </xf>
    <xf numFmtId="0" fontId="12" fillId="0" borderId="0" xfId="1" applyFont="1" applyAlignment="1">
      <alignment horizontal="center" vertical="center" wrapText="1" readingOrder="1"/>
    </xf>
    <xf numFmtId="0" fontId="12" fillId="0" borderId="0" xfId="1" applyFont="1" applyAlignment="1">
      <alignment horizontal="center" wrapText="1" readingOrder="1"/>
    </xf>
    <xf numFmtId="0" fontId="0" fillId="0" borderId="10" xfId="0" applyBorder="1"/>
    <xf numFmtId="0" fontId="0" fillId="0" borderId="11" xfId="0" applyBorder="1"/>
    <xf numFmtId="0" fontId="12" fillId="0" borderId="11" xfId="1" applyFont="1" applyBorder="1" applyAlignment="1">
      <alignment horizontal="center" wrapText="1" readingOrder="1"/>
    </xf>
    <xf numFmtId="0" fontId="0" fillId="0" borderId="7" xfId="0" applyBorder="1"/>
    <xf numFmtId="0" fontId="0" fillId="0" borderId="12" xfId="0" applyBorder="1"/>
    <xf numFmtId="0" fontId="2" fillId="0" borderId="0" xfId="1" applyAlignment="1">
      <alignment wrapText="1" readingOrder="1"/>
    </xf>
    <xf numFmtId="0" fontId="2" fillId="0" borderId="0" xfId="1" applyAlignment="1">
      <alignment horizontal="center" vertical="center" wrapText="1" readingOrder="1"/>
    </xf>
    <xf numFmtId="0" fontId="2" fillId="0" borderId="6" xfId="1" applyBorder="1" applyAlignment="1">
      <alignment wrapText="1" readingOrder="1"/>
    </xf>
    <xf numFmtId="0" fontId="0" fillId="0" borderId="8" xfId="0" applyBorder="1"/>
    <xf numFmtId="0" fontId="0" fillId="0" borderId="5" xfId="0" applyBorder="1"/>
    <xf numFmtId="0" fontId="0" fillId="0" borderId="9" xfId="0" applyBorder="1"/>
    <xf numFmtId="0" fontId="9" fillId="8" borderId="0" xfId="0" applyFont="1" applyFill="1" applyAlignment="1">
      <alignment horizontal="center"/>
    </xf>
    <xf numFmtId="0" fontId="9" fillId="7" borderId="0" xfId="0" applyFont="1" applyFill="1" applyAlignment="1">
      <alignment horizontal="center"/>
    </xf>
    <xf numFmtId="2" fontId="9" fillId="7" borderId="2" xfId="0" applyNumberFormat="1" applyFont="1" applyFill="1" applyBorder="1" applyAlignment="1">
      <alignment horizontal="center"/>
    </xf>
    <xf numFmtId="2" fontId="5" fillId="6" borderId="2" xfId="0" applyNumberFormat="1" applyFont="1" applyFill="1" applyBorder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1" fillId="0" borderId="1" xfId="1" applyFont="1" applyBorder="1" applyAlignment="1">
      <alignment horizontal="center" wrapText="1" readingOrder="1"/>
    </xf>
    <xf numFmtId="0" fontId="2" fillId="0" borderId="2" xfId="1" applyBorder="1" applyAlignment="1">
      <alignment horizontal="center" wrapText="1" readingOrder="1"/>
    </xf>
    <xf numFmtId="0" fontId="15" fillId="0" borderId="1" xfId="1" applyFont="1" applyBorder="1" applyAlignment="1">
      <alignment horizontal="center" vertical="center" wrapText="1" readingOrder="1"/>
    </xf>
    <xf numFmtId="0" fontId="3" fillId="0" borderId="0" xfId="0" applyFont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10" fillId="6" borderId="10" xfId="0" applyFont="1" applyFill="1" applyBorder="1" applyAlignment="1">
      <alignment horizontal="center" vertical="center" wrapText="1"/>
    </xf>
    <xf numFmtId="0" fontId="10" fillId="6" borderId="11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164" fontId="9" fillId="8" borderId="8" xfId="0" applyNumberFormat="1" applyFont="1" applyFill="1" applyBorder="1" applyAlignment="1">
      <alignment horizontal="center" vertical="center"/>
    </xf>
    <xf numFmtId="164" fontId="9" fillId="8" borderId="9" xfId="0" applyNumberFormat="1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/>
    </xf>
    <xf numFmtId="0" fontId="9" fillId="8" borderId="5" xfId="0" applyFont="1" applyFill="1" applyBorder="1" applyAlignment="1">
      <alignment horizontal="center"/>
    </xf>
    <xf numFmtId="0" fontId="9" fillId="8" borderId="9" xfId="0" applyFont="1" applyFill="1" applyBorder="1" applyAlignment="1">
      <alignment horizontal="center"/>
    </xf>
    <xf numFmtId="0" fontId="13" fillId="9" borderId="1" xfId="1" applyFont="1" applyFill="1" applyBorder="1" applyAlignment="1">
      <alignment horizontal="center" vertical="center" wrapText="1" readingOrder="1"/>
    </xf>
    <xf numFmtId="0" fontId="14" fillId="7" borderId="1" xfId="1" applyFont="1" applyFill="1" applyBorder="1" applyAlignment="1">
      <alignment horizontal="center" vertical="center" wrapText="1" readingOrder="1"/>
    </xf>
    <xf numFmtId="0" fontId="14" fillId="13" borderId="1" xfId="1" applyFont="1" applyFill="1" applyBorder="1" applyAlignment="1">
      <alignment horizontal="center" vertical="center" wrapText="1" readingOrder="1"/>
    </xf>
    <xf numFmtId="49" fontId="0" fillId="2" borderId="7" xfId="0" applyNumberFormat="1" applyFill="1" applyBorder="1" applyAlignment="1">
      <alignment horizontal="center" vertical="center" textRotation="255"/>
    </xf>
    <xf numFmtId="49" fontId="0" fillId="2" borderId="6" xfId="0" applyNumberFormat="1" applyFill="1" applyBorder="1" applyAlignment="1">
      <alignment horizontal="center" vertical="center" textRotation="255"/>
    </xf>
    <xf numFmtId="49" fontId="0" fillId="5" borderId="8" xfId="0" applyNumberFormat="1" applyFill="1" applyBorder="1" applyAlignment="1">
      <alignment horizontal="center"/>
    </xf>
    <xf numFmtId="49" fontId="0" fillId="5" borderId="5" xfId="0" applyNumberFormat="1" applyFill="1" applyBorder="1" applyAlignment="1">
      <alignment horizontal="center"/>
    </xf>
    <xf numFmtId="0" fontId="0" fillId="6" borderId="4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164" fontId="9" fillId="7" borderId="4" xfId="0" applyNumberFormat="1" applyFont="1" applyFill="1" applyBorder="1" applyAlignment="1">
      <alignment horizontal="center" vertical="center"/>
    </xf>
    <xf numFmtId="164" fontId="9" fillId="7" borderId="13" xfId="0" applyNumberFormat="1" applyFont="1" applyFill="1" applyBorder="1" applyAlignment="1">
      <alignment horizontal="center" vertical="center"/>
    </xf>
    <xf numFmtId="164" fontId="9" fillId="7" borderId="14" xfId="0" applyNumberFormat="1" applyFont="1" applyFill="1" applyBorder="1" applyAlignment="1">
      <alignment horizontal="center" vertic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3" fillId="6" borderId="4" xfId="0" applyFont="1" applyFill="1" applyBorder="1" applyAlignment="1">
      <alignment vertical="center"/>
    </xf>
    <xf numFmtId="0" fontId="0" fillId="6" borderId="13" xfId="0" applyFill="1" applyBorder="1" applyAlignment="1">
      <alignment vertical="center"/>
    </xf>
    <xf numFmtId="0" fontId="0" fillId="6" borderId="14" xfId="0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6">
    <dxf>
      <fill>
        <patternFill>
          <bgColor indexed="55"/>
        </patternFill>
      </fill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BFFFBF"/>
      <rgbColor rgb="000000FF"/>
      <rgbColor rgb="00FFFF00"/>
      <rgbColor rgb="00FFC9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EFAB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00FF"/>
      <color rgb="FFFF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143694</xdr:colOff>
      <xdr:row>2</xdr:row>
      <xdr:rowOff>142874</xdr:rowOff>
    </xdr:from>
    <xdr:to>
      <xdr:col>11</xdr:col>
      <xdr:colOff>66675</xdr:colOff>
      <xdr:row>4</xdr:row>
      <xdr:rowOff>148875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3725094" y="295274"/>
          <a:ext cx="523056" cy="387001"/>
        </a:xfrm>
        <a:prstGeom prst="rect">
          <a:avLst/>
        </a:prstGeom>
      </xdr:spPr>
    </xdr:pic>
    <xdr:clientData/>
  </xdr:twoCellAnchor>
  <xdr:twoCellAnchor editAs="oneCell">
    <xdr:from>
      <xdr:col>1</xdr:col>
      <xdr:colOff>77019</xdr:colOff>
      <xdr:row>2</xdr:row>
      <xdr:rowOff>142874</xdr:rowOff>
    </xdr:from>
    <xdr:to>
      <xdr:col>2</xdr:col>
      <xdr:colOff>257175</xdr:colOff>
      <xdr:row>4</xdr:row>
      <xdr:rowOff>148875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277044" y="628649"/>
          <a:ext cx="523056" cy="387001"/>
        </a:xfrm>
        <a:prstGeom prst="rect">
          <a:avLst/>
        </a:prstGeom>
      </xdr:spPr>
    </xdr:pic>
    <xdr:clientData/>
  </xdr:twoCellAnchor>
  <xdr:oneCellAnchor>
    <xdr:from>
      <xdr:col>21</xdr:col>
      <xdr:colOff>143694</xdr:colOff>
      <xdr:row>2</xdr:row>
      <xdr:rowOff>142874</xdr:rowOff>
    </xdr:from>
    <xdr:ext cx="523056" cy="387001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3725094" y="295274"/>
          <a:ext cx="523056" cy="387001"/>
        </a:xfrm>
        <a:prstGeom prst="rect">
          <a:avLst/>
        </a:prstGeom>
      </xdr:spPr>
    </xdr:pic>
    <xdr:clientData/>
  </xdr:oneCellAnchor>
  <xdr:oneCellAnchor>
    <xdr:from>
      <xdr:col>13</xdr:col>
      <xdr:colOff>77019</xdr:colOff>
      <xdr:row>2</xdr:row>
      <xdr:rowOff>142874</xdr:rowOff>
    </xdr:from>
    <xdr:ext cx="523056" cy="38700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191319" y="295274"/>
          <a:ext cx="523056" cy="387001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96069</xdr:colOff>
      <xdr:row>3</xdr:row>
      <xdr:rowOff>142874</xdr:rowOff>
    </xdr:from>
    <xdr:to>
      <xdr:col>12</xdr:col>
      <xdr:colOff>247650</xdr:colOff>
      <xdr:row>6</xdr:row>
      <xdr:rowOff>44100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4448994" y="628649"/>
          <a:ext cx="523056" cy="387001"/>
        </a:xfrm>
        <a:prstGeom prst="rect">
          <a:avLst/>
        </a:prstGeom>
      </xdr:spPr>
    </xdr:pic>
    <xdr:clientData/>
  </xdr:twoCellAnchor>
  <xdr:twoCellAnchor editAs="oneCell">
    <xdr:from>
      <xdr:col>1</xdr:col>
      <xdr:colOff>77019</xdr:colOff>
      <xdr:row>3</xdr:row>
      <xdr:rowOff>142874</xdr:rowOff>
    </xdr:from>
    <xdr:to>
      <xdr:col>1</xdr:col>
      <xdr:colOff>600075</xdr:colOff>
      <xdr:row>6</xdr:row>
      <xdr:rowOff>44100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277044" y="628649"/>
          <a:ext cx="523056" cy="3870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96069</xdr:colOff>
      <xdr:row>3</xdr:row>
      <xdr:rowOff>142874</xdr:rowOff>
    </xdr:from>
    <xdr:to>
      <xdr:col>11</xdr:col>
      <xdr:colOff>276225</xdr:colOff>
      <xdr:row>6</xdr:row>
      <xdr:rowOff>44100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4525194" y="628649"/>
          <a:ext cx="523056" cy="387001"/>
        </a:xfrm>
        <a:prstGeom prst="rect">
          <a:avLst/>
        </a:prstGeom>
      </xdr:spPr>
    </xdr:pic>
    <xdr:clientData/>
  </xdr:twoCellAnchor>
  <xdr:twoCellAnchor editAs="oneCell">
    <xdr:from>
      <xdr:col>1</xdr:col>
      <xdr:colOff>77019</xdr:colOff>
      <xdr:row>3</xdr:row>
      <xdr:rowOff>142874</xdr:rowOff>
    </xdr:from>
    <xdr:to>
      <xdr:col>2</xdr:col>
      <xdr:colOff>314325</xdr:colOff>
      <xdr:row>6</xdr:row>
      <xdr:rowOff>44100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467544" y="628649"/>
          <a:ext cx="523056" cy="387001"/>
        </a:xfrm>
        <a:prstGeom prst="rect">
          <a:avLst/>
        </a:prstGeom>
      </xdr:spPr>
    </xdr:pic>
    <xdr:clientData/>
  </xdr:twoCellAnchor>
  <xdr:oneCellAnchor>
    <xdr:from>
      <xdr:col>24</xdr:col>
      <xdr:colOff>96069</xdr:colOff>
      <xdr:row>3</xdr:row>
      <xdr:rowOff>142874</xdr:rowOff>
    </xdr:from>
    <xdr:ext cx="523056" cy="387001"/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4639494" y="628649"/>
          <a:ext cx="523056" cy="387001"/>
        </a:xfrm>
        <a:prstGeom prst="rect">
          <a:avLst/>
        </a:prstGeom>
      </xdr:spPr>
    </xdr:pic>
    <xdr:clientData/>
  </xdr:oneCellAnchor>
  <xdr:oneCellAnchor>
    <xdr:from>
      <xdr:col>15</xdr:col>
      <xdr:colOff>77019</xdr:colOff>
      <xdr:row>3</xdr:row>
      <xdr:rowOff>142874</xdr:rowOff>
    </xdr:from>
    <xdr:ext cx="523056" cy="387001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467544" y="628649"/>
          <a:ext cx="523056" cy="38700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152400</xdr:rowOff>
        </xdr:from>
        <xdr:to>
          <xdr:col>1</xdr:col>
          <xdr:colOff>771525</xdr:colOff>
          <xdr:row>6</xdr:row>
          <xdr:rowOff>38100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n%2010\Google%20Drive\Torneo%20Socorro\Torneo%20Socorro%202017\Torneo%20Socorro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Posiciones"/>
      <sheetName val="Resultados"/>
      <sheetName val="Parametros"/>
      <sheetName val="Posiciones Auxiliar"/>
      <sheetName val="Resultados Auxiliar"/>
    </sheetNames>
    <sheetDataSet>
      <sheetData sheetId="0">
        <row r="1">
          <cell r="S1" t="str">
            <v>Total</v>
          </cell>
        </row>
      </sheetData>
      <sheetData sheetId="1" refreshError="1"/>
      <sheetData sheetId="2" refreshError="1"/>
      <sheetData sheetId="3">
        <row r="3">
          <cell r="A3">
            <v>6</v>
          </cell>
          <cell r="B3" t="str">
            <v>Estrella Del Real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24</v>
          </cell>
          <cell r="L3">
            <v>13</v>
          </cell>
          <cell r="M3">
            <v>5</v>
          </cell>
          <cell r="N3">
            <v>6</v>
          </cell>
          <cell r="O3">
            <v>55</v>
          </cell>
          <cell r="P3">
            <v>30</v>
          </cell>
          <cell r="Q3">
            <v>25</v>
          </cell>
          <cell r="R3">
            <v>44</v>
          </cell>
          <cell r="S3">
            <v>24</v>
          </cell>
          <cell r="T3">
            <v>13</v>
          </cell>
          <cell r="U3">
            <v>5</v>
          </cell>
          <cell r="V3">
            <v>6</v>
          </cell>
          <cell r="W3">
            <v>55</v>
          </cell>
          <cell r="X3">
            <v>30</v>
          </cell>
          <cell r="Y3">
            <v>25</v>
          </cell>
          <cell r="Z3">
            <v>44</v>
          </cell>
        </row>
        <row r="4">
          <cell r="A4">
            <v>1</v>
          </cell>
          <cell r="B4" t="str">
            <v>Juventus A</v>
          </cell>
          <cell r="C4">
            <v>1</v>
          </cell>
          <cell r="D4">
            <v>1</v>
          </cell>
          <cell r="E4">
            <v>0</v>
          </cell>
          <cell r="F4">
            <v>0</v>
          </cell>
          <cell r="G4">
            <v>2</v>
          </cell>
          <cell r="H4">
            <v>1</v>
          </cell>
          <cell r="I4">
            <v>1</v>
          </cell>
          <cell r="J4">
            <v>3</v>
          </cell>
          <cell r="K4">
            <v>23</v>
          </cell>
          <cell r="L4">
            <v>17</v>
          </cell>
          <cell r="M4">
            <v>3</v>
          </cell>
          <cell r="N4">
            <v>3</v>
          </cell>
          <cell r="O4">
            <v>58</v>
          </cell>
          <cell r="P4">
            <v>17</v>
          </cell>
          <cell r="Q4">
            <v>41</v>
          </cell>
          <cell r="R4">
            <v>54</v>
          </cell>
          <cell r="S4">
            <v>24</v>
          </cell>
          <cell r="T4">
            <v>18</v>
          </cell>
          <cell r="U4">
            <v>3</v>
          </cell>
          <cell r="V4">
            <v>3</v>
          </cell>
          <cell r="W4">
            <v>60</v>
          </cell>
          <cell r="X4">
            <v>18</v>
          </cell>
          <cell r="Y4">
            <v>42</v>
          </cell>
          <cell r="Z4">
            <v>57</v>
          </cell>
        </row>
        <row r="5">
          <cell r="A5">
            <v>16</v>
          </cell>
          <cell r="B5" t="str">
            <v>Atletico Taboga</v>
          </cell>
          <cell r="C5">
            <v>2</v>
          </cell>
          <cell r="D5">
            <v>1</v>
          </cell>
          <cell r="E5">
            <v>0</v>
          </cell>
          <cell r="F5">
            <v>1</v>
          </cell>
          <cell r="G5">
            <v>5</v>
          </cell>
          <cell r="H5">
            <v>4</v>
          </cell>
          <cell r="I5">
            <v>1</v>
          </cell>
          <cell r="J5">
            <v>3</v>
          </cell>
          <cell r="K5">
            <v>22</v>
          </cell>
          <cell r="L5">
            <v>9</v>
          </cell>
          <cell r="M5">
            <v>5</v>
          </cell>
          <cell r="N5">
            <v>8</v>
          </cell>
          <cell r="O5">
            <v>39</v>
          </cell>
          <cell r="P5">
            <v>32</v>
          </cell>
          <cell r="Q5">
            <v>7</v>
          </cell>
          <cell r="R5">
            <v>32</v>
          </cell>
          <cell r="S5">
            <v>24</v>
          </cell>
          <cell r="T5">
            <v>10</v>
          </cell>
          <cell r="U5">
            <v>5</v>
          </cell>
          <cell r="V5">
            <v>9</v>
          </cell>
          <cell r="W5">
            <v>44</v>
          </cell>
          <cell r="X5">
            <v>36</v>
          </cell>
          <cell r="Y5">
            <v>8</v>
          </cell>
          <cell r="Z5">
            <v>35</v>
          </cell>
        </row>
        <row r="6">
          <cell r="A6">
            <v>17</v>
          </cell>
          <cell r="B6" t="str">
            <v>Dementes</v>
          </cell>
          <cell r="C6">
            <v>3</v>
          </cell>
          <cell r="D6">
            <v>0</v>
          </cell>
          <cell r="E6">
            <v>2</v>
          </cell>
          <cell r="F6">
            <v>1</v>
          </cell>
          <cell r="G6">
            <v>3</v>
          </cell>
          <cell r="H6">
            <v>8</v>
          </cell>
          <cell r="I6">
            <v>-5</v>
          </cell>
          <cell r="J6">
            <v>2</v>
          </cell>
          <cell r="K6">
            <v>21</v>
          </cell>
          <cell r="L6">
            <v>9</v>
          </cell>
          <cell r="M6">
            <v>4</v>
          </cell>
          <cell r="N6">
            <v>8</v>
          </cell>
          <cell r="O6">
            <v>37</v>
          </cell>
          <cell r="P6">
            <v>27</v>
          </cell>
          <cell r="Q6">
            <v>10</v>
          </cell>
          <cell r="R6">
            <v>31</v>
          </cell>
          <cell r="S6">
            <v>24</v>
          </cell>
          <cell r="T6">
            <v>9</v>
          </cell>
          <cell r="U6">
            <v>6</v>
          </cell>
          <cell r="V6">
            <v>9</v>
          </cell>
          <cell r="W6">
            <v>40</v>
          </cell>
          <cell r="X6">
            <v>35</v>
          </cell>
          <cell r="Y6">
            <v>5</v>
          </cell>
          <cell r="Z6">
            <v>33</v>
          </cell>
        </row>
        <row r="7">
          <cell r="A7">
            <v>11</v>
          </cell>
          <cell r="B7" t="str">
            <v>Joe Frank</v>
          </cell>
          <cell r="C7">
            <v>4</v>
          </cell>
          <cell r="D7">
            <v>1</v>
          </cell>
          <cell r="E7">
            <v>0</v>
          </cell>
          <cell r="F7">
            <v>3</v>
          </cell>
          <cell r="G7">
            <v>6</v>
          </cell>
          <cell r="H7">
            <v>8</v>
          </cell>
          <cell r="I7">
            <v>-2</v>
          </cell>
          <cell r="J7">
            <v>3</v>
          </cell>
          <cell r="K7">
            <v>20</v>
          </cell>
          <cell r="L7">
            <v>12</v>
          </cell>
          <cell r="M7">
            <v>3</v>
          </cell>
          <cell r="N7">
            <v>5</v>
          </cell>
          <cell r="O7">
            <v>46</v>
          </cell>
          <cell r="P7">
            <v>23</v>
          </cell>
          <cell r="Q7">
            <v>23</v>
          </cell>
          <cell r="R7">
            <v>39</v>
          </cell>
          <cell r="S7">
            <v>24</v>
          </cell>
          <cell r="T7">
            <v>13</v>
          </cell>
          <cell r="U7">
            <v>3</v>
          </cell>
          <cell r="V7">
            <v>8</v>
          </cell>
          <cell r="W7">
            <v>52</v>
          </cell>
          <cell r="X7">
            <v>31</v>
          </cell>
          <cell r="Y7">
            <v>21</v>
          </cell>
          <cell r="Z7">
            <v>42</v>
          </cell>
        </row>
        <row r="8">
          <cell r="A8">
            <v>4</v>
          </cell>
          <cell r="B8" t="str">
            <v>Gremio</v>
          </cell>
          <cell r="C8">
            <v>5</v>
          </cell>
          <cell r="D8">
            <v>2</v>
          </cell>
          <cell r="E8">
            <v>2</v>
          </cell>
          <cell r="F8">
            <v>1</v>
          </cell>
          <cell r="G8">
            <v>11</v>
          </cell>
          <cell r="H8">
            <v>6</v>
          </cell>
          <cell r="I8">
            <v>5</v>
          </cell>
          <cell r="J8">
            <v>8</v>
          </cell>
          <cell r="K8">
            <v>19</v>
          </cell>
          <cell r="L8">
            <v>13</v>
          </cell>
          <cell r="M8">
            <v>2</v>
          </cell>
          <cell r="N8">
            <v>4</v>
          </cell>
          <cell r="O8">
            <v>55</v>
          </cell>
          <cell r="P8">
            <v>24</v>
          </cell>
          <cell r="Q8">
            <v>31</v>
          </cell>
          <cell r="R8">
            <v>41</v>
          </cell>
          <cell r="S8">
            <v>24</v>
          </cell>
          <cell r="T8">
            <v>15</v>
          </cell>
          <cell r="U8">
            <v>4</v>
          </cell>
          <cell r="V8">
            <v>5</v>
          </cell>
          <cell r="W8">
            <v>66</v>
          </cell>
          <cell r="X8">
            <v>30</v>
          </cell>
          <cell r="Y8">
            <v>36</v>
          </cell>
          <cell r="Z8">
            <v>49</v>
          </cell>
        </row>
        <row r="9">
          <cell r="A9">
            <v>14</v>
          </cell>
          <cell r="B9" t="str">
            <v>Los Amigos</v>
          </cell>
          <cell r="C9">
            <v>6</v>
          </cell>
          <cell r="D9">
            <v>2</v>
          </cell>
          <cell r="E9">
            <v>1</v>
          </cell>
          <cell r="F9">
            <v>3</v>
          </cell>
          <cell r="G9">
            <v>9</v>
          </cell>
          <cell r="H9">
            <v>14</v>
          </cell>
          <cell r="I9">
            <v>-5</v>
          </cell>
          <cell r="J9">
            <v>7</v>
          </cell>
          <cell r="K9">
            <v>18</v>
          </cell>
          <cell r="L9">
            <v>9</v>
          </cell>
          <cell r="M9">
            <v>2</v>
          </cell>
          <cell r="N9">
            <v>7</v>
          </cell>
          <cell r="O9">
            <v>41</v>
          </cell>
          <cell r="P9">
            <v>35</v>
          </cell>
          <cell r="Q9">
            <v>6</v>
          </cell>
          <cell r="R9">
            <v>29</v>
          </cell>
          <cell r="S9">
            <v>24</v>
          </cell>
          <cell r="T9">
            <v>11</v>
          </cell>
          <cell r="U9">
            <v>3</v>
          </cell>
          <cell r="V9">
            <v>10</v>
          </cell>
          <cell r="W9">
            <v>50</v>
          </cell>
          <cell r="X9">
            <v>49</v>
          </cell>
          <cell r="Y9">
            <v>1</v>
          </cell>
          <cell r="Z9">
            <v>36</v>
          </cell>
        </row>
        <row r="10">
          <cell r="A10">
            <v>5</v>
          </cell>
          <cell r="B10" t="str">
            <v>Prociencia</v>
          </cell>
          <cell r="C10">
            <v>7</v>
          </cell>
          <cell r="D10">
            <v>1</v>
          </cell>
          <cell r="E10">
            <v>3</v>
          </cell>
          <cell r="F10">
            <v>3</v>
          </cell>
          <cell r="G10">
            <v>9</v>
          </cell>
          <cell r="H10">
            <v>13</v>
          </cell>
          <cell r="I10">
            <v>-4</v>
          </cell>
          <cell r="J10">
            <v>6</v>
          </cell>
          <cell r="K10">
            <v>17</v>
          </cell>
          <cell r="L10">
            <v>13</v>
          </cell>
          <cell r="M10">
            <v>1</v>
          </cell>
          <cell r="N10">
            <v>3</v>
          </cell>
          <cell r="O10">
            <v>40</v>
          </cell>
          <cell r="P10">
            <v>20</v>
          </cell>
          <cell r="Q10">
            <v>20</v>
          </cell>
          <cell r="R10">
            <v>40</v>
          </cell>
          <cell r="S10">
            <v>24</v>
          </cell>
          <cell r="T10">
            <v>14</v>
          </cell>
          <cell r="U10">
            <v>4</v>
          </cell>
          <cell r="V10">
            <v>6</v>
          </cell>
          <cell r="W10">
            <v>49</v>
          </cell>
          <cell r="X10">
            <v>33</v>
          </cell>
          <cell r="Y10">
            <v>16</v>
          </cell>
          <cell r="Z10">
            <v>46</v>
          </cell>
        </row>
        <row r="11">
          <cell r="A11">
            <v>21</v>
          </cell>
          <cell r="B11" t="str">
            <v>Criollos Master Plus</v>
          </cell>
          <cell r="C11">
            <v>8</v>
          </cell>
          <cell r="D11">
            <v>0</v>
          </cell>
          <cell r="E11">
            <v>0</v>
          </cell>
          <cell r="F11">
            <v>8</v>
          </cell>
          <cell r="G11">
            <v>7</v>
          </cell>
          <cell r="H11">
            <v>30</v>
          </cell>
          <cell r="I11">
            <v>-23</v>
          </cell>
          <cell r="J11">
            <v>0</v>
          </cell>
          <cell r="K11">
            <v>16</v>
          </cell>
          <cell r="L11">
            <v>6</v>
          </cell>
          <cell r="M11">
            <v>0</v>
          </cell>
          <cell r="N11">
            <v>10</v>
          </cell>
          <cell r="O11">
            <v>22</v>
          </cell>
          <cell r="P11">
            <v>40</v>
          </cell>
          <cell r="Q11">
            <v>-18</v>
          </cell>
          <cell r="R11">
            <v>18</v>
          </cell>
          <cell r="S11">
            <v>24</v>
          </cell>
          <cell r="T11">
            <v>6</v>
          </cell>
          <cell r="U11">
            <v>0</v>
          </cell>
          <cell r="V11">
            <v>18</v>
          </cell>
          <cell r="W11">
            <v>29</v>
          </cell>
          <cell r="X11">
            <v>70</v>
          </cell>
          <cell r="Y11">
            <v>-41</v>
          </cell>
          <cell r="Z11">
            <v>18</v>
          </cell>
        </row>
        <row r="12">
          <cell r="A12">
            <v>20</v>
          </cell>
          <cell r="B12" t="str">
            <v>La Gran Familia</v>
          </cell>
          <cell r="C12">
            <v>9</v>
          </cell>
          <cell r="D12">
            <v>1</v>
          </cell>
          <cell r="E12">
            <v>1</v>
          </cell>
          <cell r="F12">
            <v>7</v>
          </cell>
          <cell r="G12">
            <v>6</v>
          </cell>
          <cell r="H12">
            <v>21</v>
          </cell>
          <cell r="I12">
            <v>-15</v>
          </cell>
          <cell r="J12">
            <v>4</v>
          </cell>
          <cell r="K12">
            <v>15</v>
          </cell>
          <cell r="L12">
            <v>6</v>
          </cell>
          <cell r="M12">
            <v>3</v>
          </cell>
          <cell r="N12">
            <v>6</v>
          </cell>
          <cell r="O12">
            <v>24</v>
          </cell>
          <cell r="P12">
            <v>27</v>
          </cell>
          <cell r="Q12">
            <v>-3</v>
          </cell>
          <cell r="R12">
            <v>21</v>
          </cell>
          <cell r="S12">
            <v>24</v>
          </cell>
          <cell r="T12">
            <v>7</v>
          </cell>
          <cell r="U12">
            <v>4</v>
          </cell>
          <cell r="V12">
            <v>13</v>
          </cell>
          <cell r="W12">
            <v>30</v>
          </cell>
          <cell r="X12">
            <v>48</v>
          </cell>
          <cell r="Y12">
            <v>-18</v>
          </cell>
          <cell r="Z12">
            <v>25</v>
          </cell>
        </row>
        <row r="13">
          <cell r="A13">
            <v>18</v>
          </cell>
          <cell r="B13" t="str">
            <v>Expreso rojo</v>
          </cell>
          <cell r="C13">
            <v>10</v>
          </cell>
          <cell r="D13">
            <v>1</v>
          </cell>
          <cell r="E13">
            <v>2</v>
          </cell>
          <cell r="F13">
            <v>7</v>
          </cell>
          <cell r="G13">
            <v>12</v>
          </cell>
          <cell r="H13">
            <v>24</v>
          </cell>
          <cell r="I13">
            <v>-12</v>
          </cell>
          <cell r="J13">
            <v>5</v>
          </cell>
          <cell r="K13">
            <v>14</v>
          </cell>
          <cell r="L13">
            <v>7</v>
          </cell>
          <cell r="M13">
            <v>2</v>
          </cell>
          <cell r="N13">
            <v>5</v>
          </cell>
          <cell r="O13">
            <v>25</v>
          </cell>
          <cell r="P13">
            <v>22</v>
          </cell>
          <cell r="Q13">
            <v>3</v>
          </cell>
          <cell r="R13">
            <v>23</v>
          </cell>
          <cell r="S13">
            <v>24</v>
          </cell>
          <cell r="T13">
            <v>8</v>
          </cell>
          <cell r="U13">
            <v>4</v>
          </cell>
          <cell r="V13">
            <v>12</v>
          </cell>
          <cell r="W13">
            <v>37</v>
          </cell>
          <cell r="X13">
            <v>46</v>
          </cell>
          <cell r="Y13">
            <v>-9</v>
          </cell>
          <cell r="Z13">
            <v>28</v>
          </cell>
        </row>
        <row r="14">
          <cell r="A14">
            <v>15</v>
          </cell>
          <cell r="B14" t="str">
            <v>Himan</v>
          </cell>
          <cell r="C14">
            <v>11</v>
          </cell>
          <cell r="D14">
            <v>4</v>
          </cell>
          <cell r="E14">
            <v>4</v>
          </cell>
          <cell r="F14">
            <v>3</v>
          </cell>
          <cell r="G14">
            <v>14</v>
          </cell>
          <cell r="H14">
            <v>14</v>
          </cell>
          <cell r="I14">
            <v>0</v>
          </cell>
          <cell r="J14">
            <v>16</v>
          </cell>
          <cell r="K14">
            <v>13</v>
          </cell>
          <cell r="L14">
            <v>6</v>
          </cell>
          <cell r="M14">
            <v>2</v>
          </cell>
          <cell r="N14">
            <v>5</v>
          </cell>
          <cell r="O14">
            <v>22</v>
          </cell>
          <cell r="P14">
            <v>26</v>
          </cell>
          <cell r="Q14">
            <v>-4</v>
          </cell>
          <cell r="R14">
            <v>20</v>
          </cell>
          <cell r="S14">
            <v>24</v>
          </cell>
          <cell r="T14">
            <v>10</v>
          </cell>
          <cell r="U14">
            <v>6</v>
          </cell>
          <cell r="V14">
            <v>8</v>
          </cell>
          <cell r="W14">
            <v>36</v>
          </cell>
          <cell r="X14">
            <v>40</v>
          </cell>
          <cell r="Y14">
            <v>-4</v>
          </cell>
          <cell r="Z14">
            <v>36</v>
          </cell>
        </row>
        <row r="15">
          <cell r="A15">
            <v>8</v>
          </cell>
          <cell r="B15" t="str">
            <v>Santillana</v>
          </cell>
          <cell r="C15">
            <v>12</v>
          </cell>
          <cell r="D15">
            <v>7</v>
          </cell>
          <cell r="E15">
            <v>0</v>
          </cell>
          <cell r="F15">
            <v>5</v>
          </cell>
          <cell r="G15">
            <v>35</v>
          </cell>
          <cell r="H15">
            <v>25</v>
          </cell>
          <cell r="I15">
            <v>10</v>
          </cell>
          <cell r="J15">
            <v>21</v>
          </cell>
          <cell r="K15">
            <v>12</v>
          </cell>
          <cell r="L15">
            <v>7</v>
          </cell>
          <cell r="M15">
            <v>1</v>
          </cell>
          <cell r="N15">
            <v>4</v>
          </cell>
          <cell r="O15">
            <v>25</v>
          </cell>
          <cell r="P15">
            <v>14</v>
          </cell>
          <cell r="Q15">
            <v>11</v>
          </cell>
          <cell r="R15">
            <v>22</v>
          </cell>
          <cell r="S15">
            <v>24</v>
          </cell>
          <cell r="T15">
            <v>14</v>
          </cell>
          <cell r="U15">
            <v>1</v>
          </cell>
          <cell r="V15">
            <v>9</v>
          </cell>
          <cell r="W15">
            <v>60</v>
          </cell>
          <cell r="X15">
            <v>39</v>
          </cell>
          <cell r="Y15">
            <v>21</v>
          </cell>
          <cell r="Z15">
            <v>43</v>
          </cell>
        </row>
        <row r="16">
          <cell r="A16">
            <v>3</v>
          </cell>
          <cell r="B16" t="str">
            <v>Victoria Campi</v>
          </cell>
          <cell r="C16">
            <v>13</v>
          </cell>
          <cell r="D16">
            <v>7</v>
          </cell>
          <cell r="E16">
            <v>3</v>
          </cell>
          <cell r="F16">
            <v>3</v>
          </cell>
          <cell r="G16">
            <v>23</v>
          </cell>
          <cell r="H16">
            <v>16</v>
          </cell>
          <cell r="I16">
            <v>7</v>
          </cell>
          <cell r="J16">
            <v>24</v>
          </cell>
          <cell r="K16">
            <v>11</v>
          </cell>
          <cell r="L16">
            <v>8</v>
          </cell>
          <cell r="M16">
            <v>2</v>
          </cell>
          <cell r="N16">
            <v>1</v>
          </cell>
          <cell r="O16">
            <v>23</v>
          </cell>
          <cell r="P16">
            <v>5</v>
          </cell>
          <cell r="Q16">
            <v>18</v>
          </cell>
          <cell r="R16">
            <v>26</v>
          </cell>
          <cell r="S16">
            <v>24</v>
          </cell>
          <cell r="T16">
            <v>15</v>
          </cell>
          <cell r="U16">
            <v>5</v>
          </cell>
          <cell r="V16">
            <v>4</v>
          </cell>
          <cell r="W16">
            <v>46</v>
          </cell>
          <cell r="X16">
            <v>21</v>
          </cell>
          <cell r="Y16">
            <v>25</v>
          </cell>
          <cell r="Z16">
            <v>50</v>
          </cell>
        </row>
        <row r="17">
          <cell r="A17">
            <v>19</v>
          </cell>
          <cell r="B17" t="str">
            <v>Barcelona</v>
          </cell>
          <cell r="C17">
            <v>14</v>
          </cell>
          <cell r="D17">
            <v>5</v>
          </cell>
          <cell r="E17">
            <v>0</v>
          </cell>
          <cell r="F17">
            <v>9</v>
          </cell>
          <cell r="G17">
            <v>21</v>
          </cell>
          <cell r="H17">
            <v>33</v>
          </cell>
          <cell r="I17">
            <v>-12</v>
          </cell>
          <cell r="J17">
            <v>15</v>
          </cell>
          <cell r="K17">
            <v>10</v>
          </cell>
          <cell r="L17">
            <v>4</v>
          </cell>
          <cell r="M17">
            <v>1</v>
          </cell>
          <cell r="N17">
            <v>5</v>
          </cell>
          <cell r="O17">
            <v>20</v>
          </cell>
          <cell r="P17">
            <v>23</v>
          </cell>
          <cell r="Q17">
            <v>-3</v>
          </cell>
          <cell r="R17">
            <v>13</v>
          </cell>
          <cell r="S17">
            <v>24</v>
          </cell>
          <cell r="T17">
            <v>9</v>
          </cell>
          <cell r="U17">
            <v>1</v>
          </cell>
          <cell r="V17">
            <v>14</v>
          </cell>
          <cell r="W17">
            <v>41</v>
          </cell>
          <cell r="X17">
            <v>56</v>
          </cell>
          <cell r="Y17">
            <v>-15</v>
          </cell>
          <cell r="Z17">
            <v>28</v>
          </cell>
        </row>
        <row r="18">
          <cell r="A18">
            <v>9</v>
          </cell>
          <cell r="B18" t="str">
            <v>Inter De Cartagena</v>
          </cell>
          <cell r="C18">
            <v>15</v>
          </cell>
          <cell r="D18">
            <v>7</v>
          </cell>
          <cell r="E18">
            <v>4</v>
          </cell>
          <cell r="F18">
            <v>4</v>
          </cell>
          <cell r="G18">
            <v>32</v>
          </cell>
          <cell r="H18">
            <v>27</v>
          </cell>
          <cell r="I18">
            <v>5</v>
          </cell>
          <cell r="J18">
            <v>25</v>
          </cell>
          <cell r="K18">
            <v>9</v>
          </cell>
          <cell r="L18">
            <v>6</v>
          </cell>
          <cell r="M18">
            <v>0</v>
          </cell>
          <cell r="N18">
            <v>3</v>
          </cell>
          <cell r="O18">
            <v>24</v>
          </cell>
          <cell r="P18">
            <v>9</v>
          </cell>
          <cell r="Q18">
            <v>15</v>
          </cell>
          <cell r="R18">
            <v>18</v>
          </cell>
          <cell r="S18">
            <v>24</v>
          </cell>
          <cell r="T18">
            <v>13</v>
          </cell>
          <cell r="U18">
            <v>4</v>
          </cell>
          <cell r="V18">
            <v>7</v>
          </cell>
          <cell r="W18">
            <v>56</v>
          </cell>
          <cell r="X18">
            <v>36</v>
          </cell>
          <cell r="Y18">
            <v>20</v>
          </cell>
          <cell r="Z18">
            <v>43</v>
          </cell>
        </row>
        <row r="19">
          <cell r="A19">
            <v>12</v>
          </cell>
          <cell r="B19" t="str">
            <v>Rokata</v>
          </cell>
          <cell r="C19">
            <v>16</v>
          </cell>
          <cell r="D19">
            <v>7</v>
          </cell>
          <cell r="E19">
            <v>3</v>
          </cell>
          <cell r="F19">
            <v>6</v>
          </cell>
          <cell r="G19">
            <v>33</v>
          </cell>
          <cell r="H19">
            <v>30</v>
          </cell>
          <cell r="I19">
            <v>3</v>
          </cell>
          <cell r="J19">
            <v>24</v>
          </cell>
          <cell r="K19">
            <v>8</v>
          </cell>
          <cell r="L19">
            <v>5</v>
          </cell>
          <cell r="M19">
            <v>1</v>
          </cell>
          <cell r="N19">
            <v>2</v>
          </cell>
          <cell r="O19">
            <v>20</v>
          </cell>
          <cell r="P19">
            <v>14</v>
          </cell>
          <cell r="Q19">
            <v>6</v>
          </cell>
          <cell r="R19">
            <v>16</v>
          </cell>
          <cell r="S19">
            <v>24</v>
          </cell>
          <cell r="T19">
            <v>12</v>
          </cell>
          <cell r="U19">
            <v>4</v>
          </cell>
          <cell r="V19">
            <v>8</v>
          </cell>
          <cell r="W19">
            <v>53</v>
          </cell>
          <cell r="X19">
            <v>44</v>
          </cell>
          <cell r="Y19">
            <v>9</v>
          </cell>
          <cell r="Z19">
            <v>40</v>
          </cell>
        </row>
        <row r="20">
          <cell r="A20">
            <v>2</v>
          </cell>
          <cell r="B20" t="str">
            <v>Colonia San Jacintera</v>
          </cell>
          <cell r="C20">
            <v>17</v>
          </cell>
          <cell r="D20">
            <v>12</v>
          </cell>
          <cell r="E20">
            <v>2</v>
          </cell>
          <cell r="F20">
            <v>3</v>
          </cell>
          <cell r="G20">
            <v>43</v>
          </cell>
          <cell r="H20">
            <v>18</v>
          </cell>
          <cell r="I20">
            <v>25</v>
          </cell>
          <cell r="J20">
            <v>38</v>
          </cell>
          <cell r="K20">
            <v>7</v>
          </cell>
          <cell r="L20">
            <v>6</v>
          </cell>
          <cell r="M20">
            <v>1</v>
          </cell>
          <cell r="N20">
            <v>0</v>
          </cell>
          <cell r="O20">
            <v>18</v>
          </cell>
          <cell r="P20">
            <v>3</v>
          </cell>
          <cell r="Q20">
            <v>15</v>
          </cell>
          <cell r="R20">
            <v>19</v>
          </cell>
          <cell r="S20">
            <v>24</v>
          </cell>
          <cell r="T20">
            <v>18</v>
          </cell>
          <cell r="U20">
            <v>3</v>
          </cell>
          <cell r="V20">
            <v>3</v>
          </cell>
          <cell r="W20">
            <v>61</v>
          </cell>
          <cell r="X20">
            <v>21</v>
          </cell>
          <cell r="Y20">
            <v>40</v>
          </cell>
          <cell r="Z20">
            <v>57</v>
          </cell>
        </row>
        <row r="21">
          <cell r="A21">
            <v>10</v>
          </cell>
          <cell r="B21" t="str">
            <v>Juventus B</v>
          </cell>
          <cell r="C21">
            <v>18</v>
          </cell>
          <cell r="D21">
            <v>8</v>
          </cell>
          <cell r="E21">
            <v>3</v>
          </cell>
          <cell r="F21">
            <v>7</v>
          </cell>
          <cell r="G21">
            <v>36</v>
          </cell>
          <cell r="H21">
            <v>28</v>
          </cell>
          <cell r="I21">
            <v>8</v>
          </cell>
          <cell r="J21">
            <v>27</v>
          </cell>
          <cell r="K21">
            <v>6</v>
          </cell>
          <cell r="L21">
            <v>5</v>
          </cell>
          <cell r="M21">
            <v>0</v>
          </cell>
          <cell r="N21">
            <v>1</v>
          </cell>
          <cell r="O21">
            <v>16</v>
          </cell>
          <cell r="P21">
            <v>2</v>
          </cell>
          <cell r="Q21">
            <v>14</v>
          </cell>
          <cell r="R21">
            <v>15</v>
          </cell>
          <cell r="S21">
            <v>24</v>
          </cell>
          <cell r="T21">
            <v>13</v>
          </cell>
          <cell r="U21">
            <v>3</v>
          </cell>
          <cell r="V21">
            <v>8</v>
          </cell>
          <cell r="W21">
            <v>52</v>
          </cell>
          <cell r="X21">
            <v>30</v>
          </cell>
          <cell r="Y21">
            <v>22</v>
          </cell>
          <cell r="Z21">
            <v>42</v>
          </cell>
        </row>
        <row r="22">
          <cell r="A22">
            <v>13</v>
          </cell>
          <cell r="B22" t="str">
            <v>Coosonav</v>
          </cell>
          <cell r="C22">
            <v>19</v>
          </cell>
          <cell r="D22">
            <v>7</v>
          </cell>
          <cell r="E22">
            <v>5</v>
          </cell>
          <cell r="F22">
            <v>7</v>
          </cell>
          <cell r="G22">
            <v>29</v>
          </cell>
          <cell r="H22">
            <v>36</v>
          </cell>
          <cell r="I22">
            <v>-7</v>
          </cell>
          <cell r="J22">
            <v>26</v>
          </cell>
          <cell r="K22">
            <v>5</v>
          </cell>
          <cell r="L22">
            <v>4</v>
          </cell>
          <cell r="M22">
            <v>0</v>
          </cell>
          <cell r="N22">
            <v>1</v>
          </cell>
          <cell r="O22">
            <v>12</v>
          </cell>
          <cell r="P22">
            <v>3</v>
          </cell>
          <cell r="Q22">
            <v>9</v>
          </cell>
          <cell r="R22">
            <v>12</v>
          </cell>
          <cell r="S22">
            <v>24</v>
          </cell>
          <cell r="T22">
            <v>11</v>
          </cell>
          <cell r="U22">
            <v>5</v>
          </cell>
          <cell r="V22">
            <v>8</v>
          </cell>
          <cell r="W22">
            <v>41</v>
          </cell>
          <cell r="X22">
            <v>39</v>
          </cell>
          <cell r="Y22">
            <v>2</v>
          </cell>
          <cell r="Z22">
            <v>38</v>
          </cell>
        </row>
        <row r="23">
          <cell r="A23">
            <v>22</v>
          </cell>
          <cell r="B23" t="str">
            <v>Movistar</v>
          </cell>
          <cell r="C23">
            <v>20</v>
          </cell>
          <cell r="D23">
            <v>1</v>
          </cell>
          <cell r="E23">
            <v>1</v>
          </cell>
          <cell r="F23">
            <v>18</v>
          </cell>
          <cell r="G23">
            <v>6</v>
          </cell>
          <cell r="H23">
            <v>55</v>
          </cell>
          <cell r="I23">
            <v>-49</v>
          </cell>
          <cell r="J23">
            <v>4</v>
          </cell>
          <cell r="K23">
            <v>4</v>
          </cell>
          <cell r="L23">
            <v>3</v>
          </cell>
          <cell r="M23">
            <v>0</v>
          </cell>
          <cell r="N23">
            <v>1</v>
          </cell>
          <cell r="O23">
            <v>11</v>
          </cell>
          <cell r="P23">
            <v>3</v>
          </cell>
          <cell r="Q23">
            <v>8</v>
          </cell>
          <cell r="R23">
            <v>9</v>
          </cell>
          <cell r="S23">
            <v>24</v>
          </cell>
          <cell r="T23">
            <v>4</v>
          </cell>
          <cell r="U23">
            <v>1</v>
          </cell>
          <cell r="V23">
            <v>19</v>
          </cell>
          <cell r="W23">
            <v>17</v>
          </cell>
          <cell r="X23">
            <v>58</v>
          </cell>
          <cell r="Y23">
            <v>-41</v>
          </cell>
          <cell r="Z23">
            <v>13</v>
          </cell>
        </row>
        <row r="24">
          <cell r="A24">
            <v>7</v>
          </cell>
          <cell r="B24" t="str">
            <v>Los Caracoles</v>
          </cell>
          <cell r="C24">
            <v>21</v>
          </cell>
          <cell r="D24">
            <v>11</v>
          </cell>
          <cell r="E24">
            <v>2</v>
          </cell>
          <cell r="F24">
            <v>8</v>
          </cell>
          <cell r="G24">
            <v>44</v>
          </cell>
          <cell r="H24">
            <v>35</v>
          </cell>
          <cell r="I24">
            <v>9</v>
          </cell>
          <cell r="J24">
            <v>35</v>
          </cell>
          <cell r="K24">
            <v>3</v>
          </cell>
          <cell r="L24">
            <v>3</v>
          </cell>
          <cell r="M24">
            <v>0</v>
          </cell>
          <cell r="N24">
            <v>0</v>
          </cell>
          <cell r="O24">
            <v>10</v>
          </cell>
          <cell r="P24">
            <v>2</v>
          </cell>
          <cell r="Q24">
            <v>8</v>
          </cell>
          <cell r="R24">
            <v>9</v>
          </cell>
          <cell r="S24">
            <v>24</v>
          </cell>
          <cell r="T24">
            <v>14</v>
          </cell>
          <cell r="U24">
            <v>2</v>
          </cell>
          <cell r="V24">
            <v>8</v>
          </cell>
          <cell r="W24">
            <v>54</v>
          </cell>
          <cell r="X24">
            <v>37</v>
          </cell>
          <cell r="Y24">
            <v>17</v>
          </cell>
          <cell r="Z24">
            <v>44</v>
          </cell>
        </row>
        <row r="25">
          <cell r="A25">
            <v>23</v>
          </cell>
          <cell r="B25" t="str">
            <v>Los Elegidos</v>
          </cell>
          <cell r="C25">
            <v>22</v>
          </cell>
          <cell r="D25">
            <v>2</v>
          </cell>
          <cell r="E25">
            <v>0</v>
          </cell>
          <cell r="F25">
            <v>20</v>
          </cell>
          <cell r="G25">
            <v>12</v>
          </cell>
          <cell r="H25">
            <v>64</v>
          </cell>
          <cell r="I25">
            <v>-52</v>
          </cell>
          <cell r="J25">
            <v>6</v>
          </cell>
          <cell r="K25">
            <v>2</v>
          </cell>
          <cell r="L25">
            <v>2</v>
          </cell>
          <cell r="M25">
            <v>0</v>
          </cell>
          <cell r="N25">
            <v>0</v>
          </cell>
          <cell r="O25">
            <v>6</v>
          </cell>
          <cell r="P25">
            <v>0</v>
          </cell>
          <cell r="Q25">
            <v>6</v>
          </cell>
          <cell r="R25">
            <v>6</v>
          </cell>
          <cell r="S25">
            <v>24</v>
          </cell>
          <cell r="T25">
            <v>4</v>
          </cell>
          <cell r="U25">
            <v>0</v>
          </cell>
          <cell r="V25">
            <v>20</v>
          </cell>
          <cell r="W25">
            <v>18</v>
          </cell>
          <cell r="X25">
            <v>64</v>
          </cell>
          <cell r="Y25">
            <v>-46</v>
          </cell>
          <cell r="Z25">
            <v>12</v>
          </cell>
        </row>
        <row r="26">
          <cell r="A26">
            <v>24</v>
          </cell>
          <cell r="B26" t="str">
            <v>America</v>
          </cell>
          <cell r="C26">
            <v>23</v>
          </cell>
          <cell r="D26">
            <v>0</v>
          </cell>
          <cell r="E26">
            <v>0</v>
          </cell>
          <cell r="F26">
            <v>23</v>
          </cell>
          <cell r="G26">
            <v>3</v>
          </cell>
          <cell r="H26">
            <v>70</v>
          </cell>
          <cell r="I26">
            <v>-67</v>
          </cell>
          <cell r="J26">
            <v>0</v>
          </cell>
          <cell r="K26">
            <v>1</v>
          </cell>
          <cell r="L26">
            <v>1</v>
          </cell>
          <cell r="M26">
            <v>0</v>
          </cell>
          <cell r="N26">
            <v>0</v>
          </cell>
          <cell r="O26">
            <v>3</v>
          </cell>
          <cell r="P26">
            <v>0</v>
          </cell>
          <cell r="Q26">
            <v>3</v>
          </cell>
          <cell r="R26">
            <v>3</v>
          </cell>
          <cell r="S26">
            <v>24</v>
          </cell>
          <cell r="T26">
            <v>1</v>
          </cell>
          <cell r="U26">
            <v>0</v>
          </cell>
          <cell r="V26">
            <v>23</v>
          </cell>
          <cell r="W26">
            <v>6</v>
          </cell>
          <cell r="X26">
            <v>70</v>
          </cell>
          <cell r="Y26">
            <v>-64</v>
          </cell>
          <cell r="Z26">
            <v>3</v>
          </cell>
        </row>
        <row r="27">
          <cell r="A27">
            <v>25</v>
          </cell>
          <cell r="B27" t="str">
            <v>Holcim Colombia</v>
          </cell>
          <cell r="C27">
            <v>24</v>
          </cell>
          <cell r="D27">
            <v>0</v>
          </cell>
          <cell r="E27">
            <v>0</v>
          </cell>
          <cell r="F27">
            <v>24</v>
          </cell>
          <cell r="G27">
            <v>0</v>
          </cell>
          <cell r="H27">
            <v>72</v>
          </cell>
          <cell r="I27">
            <v>-72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24</v>
          </cell>
          <cell r="T27">
            <v>0</v>
          </cell>
          <cell r="U27">
            <v>0</v>
          </cell>
          <cell r="V27">
            <v>24</v>
          </cell>
          <cell r="W27">
            <v>0</v>
          </cell>
          <cell r="X27">
            <v>72</v>
          </cell>
          <cell r="Y27">
            <v>-72</v>
          </cell>
          <cell r="Z27">
            <v>0</v>
          </cell>
        </row>
        <row r="28">
          <cell r="A28">
            <v>26</v>
          </cell>
          <cell r="B28" t="str">
            <v>Equipo 26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</row>
        <row r="29">
          <cell r="A29">
            <v>27</v>
          </cell>
          <cell r="B29" t="str">
            <v>Equipo 27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</row>
        <row r="30">
          <cell r="A30">
            <v>28</v>
          </cell>
          <cell r="B30" t="str">
            <v>Equipo 28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</row>
        <row r="31">
          <cell r="A31">
            <v>29</v>
          </cell>
          <cell r="B31" t="str">
            <v>Equipo 29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</row>
        <row r="32">
          <cell r="A32">
            <v>30</v>
          </cell>
          <cell r="B32" t="str">
            <v>Equipo 30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</row>
        <row r="33">
          <cell r="A33">
            <v>31</v>
          </cell>
          <cell r="B33" t="str">
            <v>Equipo 31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</row>
        <row r="34">
          <cell r="A34">
            <v>32</v>
          </cell>
          <cell r="B34" t="str">
            <v>Equipo 32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</row>
        <row r="35">
          <cell r="A35">
            <v>33</v>
          </cell>
          <cell r="B35" t="str">
            <v>Equipo 33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</row>
        <row r="36">
          <cell r="A36">
            <v>34</v>
          </cell>
          <cell r="B36" t="str">
            <v>Equipo 34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</row>
        <row r="37">
          <cell r="A37">
            <v>35</v>
          </cell>
          <cell r="B37" t="str">
            <v>Equipo 35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</row>
        <row r="38">
          <cell r="A38">
            <v>36</v>
          </cell>
          <cell r="B38" t="str">
            <v>Equipo 36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</row>
        <row r="39">
          <cell r="A39">
            <v>37</v>
          </cell>
          <cell r="B39" t="str">
            <v>Equipo 37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</row>
        <row r="40">
          <cell r="A40">
            <v>38</v>
          </cell>
          <cell r="B40" t="str">
            <v>Equipo 38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</row>
        <row r="41">
          <cell r="A41">
            <v>39</v>
          </cell>
          <cell r="B41" t="str">
            <v>Equipo 39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</row>
        <row r="42">
          <cell r="A42">
            <v>40</v>
          </cell>
          <cell r="B42" t="str">
            <v>Equipo 40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Z43"/>
  <sheetViews>
    <sheetView workbookViewId="0">
      <selection activeCell="B2" sqref="B2"/>
    </sheetView>
  </sheetViews>
  <sheetFormatPr defaultColWidth="9.140625" defaultRowHeight="12.75" x14ac:dyDescent="0.2"/>
  <cols>
    <col min="1" max="1" width="5.85546875" style="1" customWidth="1"/>
    <col min="2" max="2" width="19.140625" bestFit="1" customWidth="1"/>
    <col min="3" max="26" width="4.5703125" style="1" customWidth="1"/>
  </cols>
  <sheetData>
    <row r="1" spans="1:26" x14ac:dyDescent="0.2">
      <c r="C1" s="102" t="s">
        <v>13</v>
      </c>
      <c r="D1" s="102"/>
      <c r="E1" s="102"/>
      <c r="F1" s="102"/>
      <c r="G1" s="102"/>
      <c r="H1" s="102"/>
      <c r="I1" s="102"/>
      <c r="J1" s="102"/>
      <c r="K1" s="103" t="s">
        <v>14</v>
      </c>
      <c r="L1" s="103"/>
      <c r="M1" s="103"/>
      <c r="N1" s="103"/>
      <c r="O1" s="103"/>
      <c r="P1" s="103"/>
      <c r="Q1" s="103"/>
      <c r="R1" s="103"/>
      <c r="S1" s="104" t="s">
        <v>15</v>
      </c>
      <c r="T1" s="104"/>
      <c r="U1" s="104"/>
      <c r="V1" s="104"/>
      <c r="W1" s="104"/>
      <c r="X1" s="104"/>
      <c r="Y1" s="104"/>
      <c r="Z1" s="104"/>
    </row>
    <row r="2" spans="1:26" ht="13.5" thickBot="1" x14ac:dyDescent="0.25">
      <c r="A2" s="32" t="s">
        <v>21</v>
      </c>
      <c r="B2" s="13" t="s">
        <v>12</v>
      </c>
      <c r="C2" s="14" t="s">
        <v>4</v>
      </c>
      <c r="D2" s="14" t="s">
        <v>5</v>
      </c>
      <c r="E2" s="14" t="s">
        <v>6</v>
      </c>
      <c r="F2" s="14" t="s">
        <v>7</v>
      </c>
      <c r="G2" s="14" t="s">
        <v>8</v>
      </c>
      <c r="H2" s="14" t="s">
        <v>9</v>
      </c>
      <c r="I2" s="14" t="s">
        <v>10</v>
      </c>
      <c r="J2" s="14" t="s">
        <v>11</v>
      </c>
      <c r="K2" s="15" t="s">
        <v>4</v>
      </c>
      <c r="L2" s="15" t="s">
        <v>5</v>
      </c>
      <c r="M2" s="15" t="s">
        <v>6</v>
      </c>
      <c r="N2" s="15" t="s">
        <v>7</v>
      </c>
      <c r="O2" s="15" t="s">
        <v>8</v>
      </c>
      <c r="P2" s="15" t="s">
        <v>9</v>
      </c>
      <c r="Q2" s="15" t="s">
        <v>10</v>
      </c>
      <c r="R2" s="15" t="s">
        <v>11</v>
      </c>
      <c r="S2" s="16" t="s">
        <v>4</v>
      </c>
      <c r="T2" s="16" t="s">
        <v>5</v>
      </c>
      <c r="U2" s="16" t="s">
        <v>6</v>
      </c>
      <c r="V2" s="16" t="s">
        <v>7</v>
      </c>
      <c r="W2" s="16" t="s">
        <v>8</v>
      </c>
      <c r="X2" s="16" t="s">
        <v>9</v>
      </c>
      <c r="Y2" s="16" t="s">
        <v>10</v>
      </c>
      <c r="Z2" s="16" t="s">
        <v>11</v>
      </c>
    </row>
    <row r="3" spans="1:26" x14ac:dyDescent="0.2">
      <c r="A3" s="32">
        <v>1</v>
      </c>
      <c r="B3" s="9" t="str">
        <f>VLOOKUP($A3,Posiciones_Auxiliar,COLUMN(),0)</f>
        <v>Inter de Cartagena</v>
      </c>
      <c r="C3" s="10">
        <f t="shared" ref="B3:K18" si="0">VLOOKUP($A3,Posiciones_Auxiliar,COLUMN(),0)</f>
        <v>0</v>
      </c>
      <c r="D3" s="10">
        <f t="shared" si="0"/>
        <v>0</v>
      </c>
      <c r="E3" s="10">
        <f t="shared" si="0"/>
        <v>0</v>
      </c>
      <c r="F3" s="10">
        <f t="shared" si="0"/>
        <v>0</v>
      </c>
      <c r="G3" s="10">
        <f t="shared" si="0"/>
        <v>0</v>
      </c>
      <c r="H3" s="10">
        <f t="shared" si="0"/>
        <v>0</v>
      </c>
      <c r="I3" s="10">
        <f t="shared" si="0"/>
        <v>0</v>
      </c>
      <c r="J3" s="10">
        <f t="shared" si="0"/>
        <v>0</v>
      </c>
      <c r="K3" s="11">
        <f t="shared" si="0"/>
        <v>0</v>
      </c>
      <c r="L3" s="11">
        <f t="shared" ref="L3:Z18" si="1">VLOOKUP($A3,Posiciones_Auxiliar,COLUMN(),0)</f>
        <v>0</v>
      </c>
      <c r="M3" s="11">
        <f t="shared" si="1"/>
        <v>0</v>
      </c>
      <c r="N3" s="11">
        <f t="shared" si="1"/>
        <v>0</v>
      </c>
      <c r="O3" s="11">
        <f t="shared" si="1"/>
        <v>0</v>
      </c>
      <c r="P3" s="11">
        <f t="shared" si="1"/>
        <v>0</v>
      </c>
      <c r="Q3" s="11">
        <f t="shared" si="1"/>
        <v>0</v>
      </c>
      <c r="R3" s="11">
        <f t="shared" si="1"/>
        <v>0</v>
      </c>
      <c r="S3" s="12">
        <f t="shared" si="1"/>
        <v>0</v>
      </c>
      <c r="T3" s="12">
        <f t="shared" si="1"/>
        <v>0</v>
      </c>
      <c r="U3" s="12">
        <f t="shared" si="1"/>
        <v>0</v>
      </c>
      <c r="V3" s="12">
        <f t="shared" si="1"/>
        <v>0</v>
      </c>
      <c r="W3" s="12">
        <f t="shared" si="1"/>
        <v>0</v>
      </c>
      <c r="X3" s="12">
        <f t="shared" si="1"/>
        <v>0</v>
      </c>
      <c r="Y3" s="12">
        <f t="shared" si="1"/>
        <v>0</v>
      </c>
      <c r="Z3" s="12">
        <f t="shared" si="1"/>
        <v>0</v>
      </c>
    </row>
    <row r="4" spans="1:26" x14ac:dyDescent="0.2">
      <c r="A4" s="32">
        <v>2</v>
      </c>
      <c r="B4" s="9" t="str">
        <f t="shared" si="0"/>
        <v>Mate Bolivar FC</v>
      </c>
      <c r="C4" s="4">
        <f t="shared" si="0"/>
        <v>0</v>
      </c>
      <c r="D4" s="4">
        <f t="shared" si="0"/>
        <v>0</v>
      </c>
      <c r="E4" s="4">
        <f t="shared" si="0"/>
        <v>0</v>
      </c>
      <c r="F4" s="4">
        <f t="shared" si="0"/>
        <v>0</v>
      </c>
      <c r="G4" s="4">
        <f t="shared" si="0"/>
        <v>0</v>
      </c>
      <c r="H4" s="4">
        <f t="shared" si="0"/>
        <v>0</v>
      </c>
      <c r="I4" s="4">
        <f t="shared" si="0"/>
        <v>0</v>
      </c>
      <c r="J4" s="4">
        <f t="shared" si="0"/>
        <v>0</v>
      </c>
      <c r="K4" s="5">
        <f t="shared" si="0"/>
        <v>0</v>
      </c>
      <c r="L4" s="5">
        <f t="shared" si="1"/>
        <v>0</v>
      </c>
      <c r="M4" s="5">
        <f t="shared" si="1"/>
        <v>0</v>
      </c>
      <c r="N4" s="5">
        <f t="shared" si="1"/>
        <v>0</v>
      </c>
      <c r="O4" s="5">
        <f t="shared" si="1"/>
        <v>0</v>
      </c>
      <c r="P4" s="5">
        <f t="shared" si="1"/>
        <v>0</v>
      </c>
      <c r="Q4" s="5">
        <f t="shared" si="1"/>
        <v>0</v>
      </c>
      <c r="R4" s="5">
        <f t="shared" si="1"/>
        <v>0</v>
      </c>
      <c r="S4" s="8">
        <f t="shared" si="1"/>
        <v>0</v>
      </c>
      <c r="T4" s="8">
        <f t="shared" si="1"/>
        <v>0</v>
      </c>
      <c r="U4" s="8">
        <f t="shared" si="1"/>
        <v>0</v>
      </c>
      <c r="V4" s="8">
        <f t="shared" si="1"/>
        <v>0</v>
      </c>
      <c r="W4" s="8">
        <f t="shared" si="1"/>
        <v>0</v>
      </c>
      <c r="X4" s="8">
        <f t="shared" si="1"/>
        <v>0</v>
      </c>
      <c r="Y4" s="8">
        <f t="shared" si="1"/>
        <v>0</v>
      </c>
      <c r="Z4" s="8">
        <f t="shared" si="1"/>
        <v>0</v>
      </c>
    </row>
    <row r="5" spans="1:26" x14ac:dyDescent="0.2">
      <c r="A5" s="32">
        <v>3</v>
      </c>
      <c r="B5" s="9" t="str">
        <f t="shared" si="0"/>
        <v>Palmo Fc</v>
      </c>
      <c r="C5" s="4">
        <f t="shared" si="0"/>
        <v>0</v>
      </c>
      <c r="D5" s="4">
        <f t="shared" si="0"/>
        <v>0</v>
      </c>
      <c r="E5" s="4">
        <f t="shared" si="0"/>
        <v>0</v>
      </c>
      <c r="F5" s="4">
        <f t="shared" si="0"/>
        <v>0</v>
      </c>
      <c r="G5" s="4">
        <f t="shared" si="0"/>
        <v>0</v>
      </c>
      <c r="H5" s="4">
        <f t="shared" si="0"/>
        <v>0</v>
      </c>
      <c r="I5" s="4">
        <f t="shared" si="0"/>
        <v>0</v>
      </c>
      <c r="J5" s="4">
        <f t="shared" si="0"/>
        <v>0</v>
      </c>
      <c r="K5" s="5">
        <f t="shared" si="0"/>
        <v>0</v>
      </c>
      <c r="L5" s="5">
        <f t="shared" si="1"/>
        <v>0</v>
      </c>
      <c r="M5" s="5">
        <f t="shared" si="1"/>
        <v>0</v>
      </c>
      <c r="N5" s="5">
        <f t="shared" si="1"/>
        <v>0</v>
      </c>
      <c r="O5" s="5">
        <f t="shared" si="1"/>
        <v>0</v>
      </c>
      <c r="P5" s="5">
        <f t="shared" si="1"/>
        <v>0</v>
      </c>
      <c r="Q5" s="5">
        <f t="shared" si="1"/>
        <v>0</v>
      </c>
      <c r="R5" s="5">
        <f t="shared" si="1"/>
        <v>0</v>
      </c>
      <c r="S5" s="8">
        <f t="shared" si="1"/>
        <v>0</v>
      </c>
      <c r="T5" s="8">
        <f t="shared" si="1"/>
        <v>0</v>
      </c>
      <c r="U5" s="8">
        <f t="shared" si="1"/>
        <v>0</v>
      </c>
      <c r="V5" s="8">
        <f t="shared" si="1"/>
        <v>0</v>
      </c>
      <c r="W5" s="8">
        <f t="shared" si="1"/>
        <v>0</v>
      </c>
      <c r="X5" s="8">
        <f t="shared" si="1"/>
        <v>0</v>
      </c>
      <c r="Y5" s="8">
        <f t="shared" si="1"/>
        <v>0</v>
      </c>
      <c r="Z5" s="8">
        <f t="shared" si="1"/>
        <v>0</v>
      </c>
    </row>
    <row r="6" spans="1:26" x14ac:dyDescent="0.2">
      <c r="A6" s="32">
        <v>4</v>
      </c>
      <c r="B6" s="9" t="str">
        <f t="shared" si="0"/>
        <v>Los Amigos</v>
      </c>
      <c r="C6" s="4">
        <f t="shared" si="0"/>
        <v>0</v>
      </c>
      <c r="D6" s="4">
        <f t="shared" si="0"/>
        <v>0</v>
      </c>
      <c r="E6" s="4">
        <f t="shared" si="0"/>
        <v>0</v>
      </c>
      <c r="F6" s="4">
        <f t="shared" si="0"/>
        <v>0</v>
      </c>
      <c r="G6" s="4">
        <f t="shared" si="0"/>
        <v>0</v>
      </c>
      <c r="H6" s="4">
        <f t="shared" si="0"/>
        <v>0</v>
      </c>
      <c r="I6" s="4">
        <f t="shared" si="0"/>
        <v>0</v>
      </c>
      <c r="J6" s="4">
        <f t="shared" si="0"/>
        <v>0</v>
      </c>
      <c r="K6" s="5">
        <f t="shared" si="0"/>
        <v>0</v>
      </c>
      <c r="L6" s="5">
        <f t="shared" si="1"/>
        <v>0</v>
      </c>
      <c r="M6" s="5">
        <f t="shared" si="1"/>
        <v>0</v>
      </c>
      <c r="N6" s="5">
        <f t="shared" si="1"/>
        <v>0</v>
      </c>
      <c r="O6" s="5">
        <f t="shared" si="1"/>
        <v>0</v>
      </c>
      <c r="P6" s="5">
        <f t="shared" si="1"/>
        <v>0</v>
      </c>
      <c r="Q6" s="5">
        <f t="shared" si="1"/>
        <v>0</v>
      </c>
      <c r="R6" s="5">
        <f t="shared" si="1"/>
        <v>0</v>
      </c>
      <c r="S6" s="8">
        <f t="shared" si="1"/>
        <v>0</v>
      </c>
      <c r="T6" s="8">
        <f t="shared" si="1"/>
        <v>0</v>
      </c>
      <c r="U6" s="8">
        <f t="shared" si="1"/>
        <v>0</v>
      </c>
      <c r="V6" s="8">
        <f t="shared" si="1"/>
        <v>0</v>
      </c>
      <c r="W6" s="8">
        <f t="shared" si="1"/>
        <v>0</v>
      </c>
      <c r="X6" s="8">
        <f t="shared" si="1"/>
        <v>0</v>
      </c>
      <c r="Y6" s="8">
        <f t="shared" si="1"/>
        <v>0</v>
      </c>
      <c r="Z6" s="8">
        <f t="shared" si="1"/>
        <v>0</v>
      </c>
    </row>
    <row r="7" spans="1:26" x14ac:dyDescent="0.2">
      <c r="A7" s="32">
        <v>5</v>
      </c>
      <c r="B7" s="9" t="str">
        <f t="shared" si="0"/>
        <v>Zamba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5">
        <f t="shared" si="0"/>
        <v>0</v>
      </c>
      <c r="L7" s="5">
        <f t="shared" si="1"/>
        <v>0</v>
      </c>
      <c r="M7" s="5">
        <f t="shared" si="1"/>
        <v>0</v>
      </c>
      <c r="N7" s="5">
        <f t="shared" si="1"/>
        <v>0</v>
      </c>
      <c r="O7" s="5">
        <f t="shared" si="1"/>
        <v>0</v>
      </c>
      <c r="P7" s="5">
        <f t="shared" si="1"/>
        <v>0</v>
      </c>
      <c r="Q7" s="5">
        <f t="shared" si="1"/>
        <v>0</v>
      </c>
      <c r="R7" s="5">
        <f t="shared" si="1"/>
        <v>0</v>
      </c>
      <c r="S7" s="8">
        <f t="shared" si="1"/>
        <v>0</v>
      </c>
      <c r="T7" s="8">
        <f t="shared" si="1"/>
        <v>0</v>
      </c>
      <c r="U7" s="8">
        <f t="shared" si="1"/>
        <v>0</v>
      </c>
      <c r="V7" s="8">
        <f t="shared" si="1"/>
        <v>0</v>
      </c>
      <c r="W7" s="8">
        <f t="shared" si="1"/>
        <v>0</v>
      </c>
      <c r="X7" s="8">
        <f t="shared" si="1"/>
        <v>0</v>
      </c>
      <c r="Y7" s="8">
        <f t="shared" si="1"/>
        <v>0</v>
      </c>
      <c r="Z7" s="8">
        <f t="shared" si="1"/>
        <v>0</v>
      </c>
    </row>
    <row r="8" spans="1:26" x14ac:dyDescent="0.2">
      <c r="A8" s="32">
        <v>6</v>
      </c>
      <c r="B8" s="9" t="str">
        <f t="shared" si="0"/>
        <v>Colonia Carmera</v>
      </c>
      <c r="C8" s="4">
        <f t="shared" si="0"/>
        <v>0</v>
      </c>
      <c r="D8" s="4">
        <f t="shared" si="0"/>
        <v>0</v>
      </c>
      <c r="E8" s="4">
        <f t="shared" si="0"/>
        <v>0</v>
      </c>
      <c r="F8" s="4">
        <f t="shared" si="0"/>
        <v>0</v>
      </c>
      <c r="G8" s="4">
        <f t="shared" si="0"/>
        <v>0</v>
      </c>
      <c r="H8" s="4">
        <f t="shared" si="0"/>
        <v>0</v>
      </c>
      <c r="I8" s="4">
        <f t="shared" si="0"/>
        <v>0</v>
      </c>
      <c r="J8" s="4">
        <f t="shared" si="0"/>
        <v>0</v>
      </c>
      <c r="K8" s="5">
        <f t="shared" si="0"/>
        <v>0</v>
      </c>
      <c r="L8" s="5">
        <f t="shared" si="1"/>
        <v>0</v>
      </c>
      <c r="M8" s="5">
        <f t="shared" si="1"/>
        <v>0</v>
      </c>
      <c r="N8" s="5">
        <f t="shared" si="1"/>
        <v>0</v>
      </c>
      <c r="O8" s="5">
        <f t="shared" si="1"/>
        <v>0</v>
      </c>
      <c r="P8" s="5">
        <f t="shared" si="1"/>
        <v>0</v>
      </c>
      <c r="Q8" s="5">
        <f t="shared" si="1"/>
        <v>0</v>
      </c>
      <c r="R8" s="5">
        <f t="shared" si="1"/>
        <v>0</v>
      </c>
      <c r="S8" s="8">
        <f t="shared" si="1"/>
        <v>0</v>
      </c>
      <c r="T8" s="8">
        <f t="shared" si="1"/>
        <v>0</v>
      </c>
      <c r="U8" s="8">
        <f t="shared" si="1"/>
        <v>0</v>
      </c>
      <c r="V8" s="8">
        <f t="shared" si="1"/>
        <v>0</v>
      </c>
      <c r="W8" s="8">
        <f t="shared" si="1"/>
        <v>0</v>
      </c>
      <c r="X8" s="8">
        <f t="shared" si="1"/>
        <v>0</v>
      </c>
      <c r="Y8" s="8">
        <f t="shared" si="1"/>
        <v>0</v>
      </c>
      <c r="Z8" s="8">
        <f t="shared" si="1"/>
        <v>0</v>
      </c>
    </row>
    <row r="9" spans="1:26" x14ac:dyDescent="0.2">
      <c r="A9" s="32">
        <v>7</v>
      </c>
      <c r="B9" s="9" t="str">
        <f t="shared" si="0"/>
        <v>Familia Real</v>
      </c>
      <c r="C9" s="4">
        <f t="shared" si="0"/>
        <v>0</v>
      </c>
      <c r="D9" s="4">
        <f t="shared" si="0"/>
        <v>0</v>
      </c>
      <c r="E9" s="4">
        <f t="shared" si="0"/>
        <v>0</v>
      </c>
      <c r="F9" s="4">
        <f t="shared" si="0"/>
        <v>0</v>
      </c>
      <c r="G9" s="4">
        <f t="shared" si="0"/>
        <v>0</v>
      </c>
      <c r="H9" s="4">
        <f t="shared" si="0"/>
        <v>0</v>
      </c>
      <c r="I9" s="4">
        <f t="shared" si="0"/>
        <v>0</v>
      </c>
      <c r="J9" s="4">
        <f t="shared" si="0"/>
        <v>0</v>
      </c>
      <c r="K9" s="5">
        <f t="shared" si="0"/>
        <v>0</v>
      </c>
      <c r="L9" s="5">
        <f t="shared" si="1"/>
        <v>0</v>
      </c>
      <c r="M9" s="5">
        <f t="shared" si="1"/>
        <v>0</v>
      </c>
      <c r="N9" s="5">
        <f t="shared" si="1"/>
        <v>0</v>
      </c>
      <c r="O9" s="5">
        <f t="shared" si="1"/>
        <v>0</v>
      </c>
      <c r="P9" s="5">
        <f t="shared" si="1"/>
        <v>0</v>
      </c>
      <c r="Q9" s="5">
        <f t="shared" si="1"/>
        <v>0</v>
      </c>
      <c r="R9" s="5">
        <f t="shared" si="1"/>
        <v>0</v>
      </c>
      <c r="S9" s="8">
        <f t="shared" si="1"/>
        <v>0</v>
      </c>
      <c r="T9" s="8">
        <f t="shared" si="1"/>
        <v>0</v>
      </c>
      <c r="U9" s="8">
        <f t="shared" si="1"/>
        <v>0</v>
      </c>
      <c r="V9" s="8">
        <f t="shared" si="1"/>
        <v>0</v>
      </c>
      <c r="W9" s="8">
        <f t="shared" si="1"/>
        <v>0</v>
      </c>
      <c r="X9" s="8">
        <f t="shared" si="1"/>
        <v>0</v>
      </c>
      <c r="Y9" s="8">
        <f t="shared" si="1"/>
        <v>0</v>
      </c>
      <c r="Z9" s="8">
        <f t="shared" si="1"/>
        <v>0</v>
      </c>
    </row>
    <row r="10" spans="1:26" x14ac:dyDescent="0.2">
      <c r="A10" s="32">
        <v>8</v>
      </c>
      <c r="B10" s="9" t="str">
        <f t="shared" si="0"/>
        <v>Clase Aparte</v>
      </c>
      <c r="C10" s="4">
        <f t="shared" si="0"/>
        <v>0</v>
      </c>
      <c r="D10" s="4">
        <f t="shared" si="0"/>
        <v>0</v>
      </c>
      <c r="E10" s="4">
        <f t="shared" si="0"/>
        <v>0</v>
      </c>
      <c r="F10" s="4">
        <f t="shared" si="0"/>
        <v>0</v>
      </c>
      <c r="G10" s="4">
        <f t="shared" si="0"/>
        <v>0</v>
      </c>
      <c r="H10" s="4">
        <f t="shared" si="0"/>
        <v>0</v>
      </c>
      <c r="I10" s="4">
        <f t="shared" si="0"/>
        <v>0</v>
      </c>
      <c r="J10" s="4">
        <f t="shared" si="0"/>
        <v>0</v>
      </c>
      <c r="K10" s="5">
        <f t="shared" si="0"/>
        <v>0</v>
      </c>
      <c r="L10" s="5">
        <f t="shared" si="1"/>
        <v>0</v>
      </c>
      <c r="M10" s="5">
        <f t="shared" si="1"/>
        <v>0</v>
      </c>
      <c r="N10" s="5">
        <f t="shared" si="1"/>
        <v>0</v>
      </c>
      <c r="O10" s="5">
        <f t="shared" si="1"/>
        <v>0</v>
      </c>
      <c r="P10" s="5">
        <f t="shared" si="1"/>
        <v>0</v>
      </c>
      <c r="Q10" s="5">
        <f t="shared" si="1"/>
        <v>0</v>
      </c>
      <c r="R10" s="5">
        <f t="shared" si="1"/>
        <v>0</v>
      </c>
      <c r="S10" s="8">
        <f t="shared" si="1"/>
        <v>0</v>
      </c>
      <c r="T10" s="8">
        <f t="shared" si="1"/>
        <v>0</v>
      </c>
      <c r="U10" s="8">
        <f t="shared" si="1"/>
        <v>0</v>
      </c>
      <c r="V10" s="8">
        <f t="shared" si="1"/>
        <v>0</v>
      </c>
      <c r="W10" s="8">
        <f t="shared" si="1"/>
        <v>0</v>
      </c>
      <c r="X10" s="8">
        <f t="shared" si="1"/>
        <v>0</v>
      </c>
      <c r="Y10" s="8">
        <f t="shared" si="1"/>
        <v>0</v>
      </c>
      <c r="Z10" s="8">
        <f t="shared" si="1"/>
        <v>0</v>
      </c>
    </row>
    <row r="11" spans="1:26" x14ac:dyDescent="0.2">
      <c r="A11" s="32">
        <v>9</v>
      </c>
      <c r="B11" s="9" t="str">
        <f t="shared" si="0"/>
        <v>Heroicos</v>
      </c>
      <c r="C11" s="4">
        <f t="shared" si="0"/>
        <v>0</v>
      </c>
      <c r="D11" s="4">
        <f t="shared" si="0"/>
        <v>0</v>
      </c>
      <c r="E11" s="4">
        <f t="shared" si="0"/>
        <v>0</v>
      </c>
      <c r="F11" s="4">
        <f t="shared" si="0"/>
        <v>0</v>
      </c>
      <c r="G11" s="4">
        <f t="shared" si="0"/>
        <v>0</v>
      </c>
      <c r="H11" s="4">
        <f t="shared" si="0"/>
        <v>0</v>
      </c>
      <c r="I11" s="4">
        <f t="shared" si="0"/>
        <v>0</v>
      </c>
      <c r="J11" s="4">
        <f t="shared" si="0"/>
        <v>0</v>
      </c>
      <c r="K11" s="5">
        <f t="shared" si="0"/>
        <v>0</v>
      </c>
      <c r="L11" s="5">
        <f t="shared" si="1"/>
        <v>0</v>
      </c>
      <c r="M11" s="5">
        <f t="shared" si="1"/>
        <v>0</v>
      </c>
      <c r="N11" s="5">
        <f t="shared" si="1"/>
        <v>0</v>
      </c>
      <c r="O11" s="5">
        <f t="shared" si="1"/>
        <v>0</v>
      </c>
      <c r="P11" s="5">
        <f t="shared" si="1"/>
        <v>0</v>
      </c>
      <c r="Q11" s="5">
        <f t="shared" si="1"/>
        <v>0</v>
      </c>
      <c r="R11" s="5">
        <f t="shared" si="1"/>
        <v>0</v>
      </c>
      <c r="S11" s="8">
        <f t="shared" si="1"/>
        <v>0</v>
      </c>
      <c r="T11" s="8">
        <f t="shared" si="1"/>
        <v>0</v>
      </c>
      <c r="U11" s="8">
        <f t="shared" si="1"/>
        <v>0</v>
      </c>
      <c r="V11" s="8">
        <f t="shared" si="1"/>
        <v>0</v>
      </c>
      <c r="W11" s="8">
        <f t="shared" si="1"/>
        <v>0</v>
      </c>
      <c r="X11" s="8">
        <f t="shared" si="1"/>
        <v>0</v>
      </c>
      <c r="Y11" s="8">
        <f t="shared" si="1"/>
        <v>0</v>
      </c>
      <c r="Z11" s="8">
        <f t="shared" si="1"/>
        <v>0</v>
      </c>
    </row>
    <row r="12" spans="1:26" hidden="1" x14ac:dyDescent="0.2">
      <c r="A12" s="32">
        <v>10</v>
      </c>
      <c r="B12" s="9">
        <f t="shared" si="0"/>
        <v>0</v>
      </c>
      <c r="C12" s="4">
        <f t="shared" si="0"/>
        <v>0</v>
      </c>
      <c r="D12" s="4">
        <f t="shared" si="0"/>
        <v>0</v>
      </c>
      <c r="E12" s="4">
        <f t="shared" si="0"/>
        <v>0</v>
      </c>
      <c r="F12" s="4">
        <f t="shared" si="0"/>
        <v>0</v>
      </c>
      <c r="G12" s="4">
        <f t="shared" si="0"/>
        <v>0</v>
      </c>
      <c r="H12" s="4">
        <f t="shared" si="0"/>
        <v>0</v>
      </c>
      <c r="I12" s="4">
        <f t="shared" si="0"/>
        <v>0</v>
      </c>
      <c r="J12" s="4">
        <f t="shared" si="0"/>
        <v>0</v>
      </c>
      <c r="K12" s="5">
        <f t="shared" si="0"/>
        <v>0</v>
      </c>
      <c r="L12" s="5">
        <f t="shared" si="1"/>
        <v>0</v>
      </c>
      <c r="M12" s="5">
        <f t="shared" si="1"/>
        <v>0</v>
      </c>
      <c r="N12" s="5">
        <f t="shared" si="1"/>
        <v>0</v>
      </c>
      <c r="O12" s="5">
        <f t="shared" si="1"/>
        <v>0</v>
      </c>
      <c r="P12" s="5">
        <f t="shared" si="1"/>
        <v>0</v>
      </c>
      <c r="Q12" s="5">
        <f t="shared" si="1"/>
        <v>0</v>
      </c>
      <c r="R12" s="5">
        <f t="shared" si="1"/>
        <v>0</v>
      </c>
      <c r="S12" s="8">
        <f t="shared" si="1"/>
        <v>0</v>
      </c>
      <c r="T12" s="8">
        <f t="shared" si="1"/>
        <v>0</v>
      </c>
      <c r="U12" s="8">
        <f t="shared" si="1"/>
        <v>0</v>
      </c>
      <c r="V12" s="8">
        <f t="shared" si="1"/>
        <v>0</v>
      </c>
      <c r="W12" s="8">
        <f t="shared" si="1"/>
        <v>0</v>
      </c>
      <c r="X12" s="8">
        <f t="shared" si="1"/>
        <v>0</v>
      </c>
      <c r="Y12" s="8">
        <f t="shared" si="1"/>
        <v>0</v>
      </c>
      <c r="Z12" s="8">
        <f t="shared" si="1"/>
        <v>0</v>
      </c>
    </row>
    <row r="13" spans="1:26" hidden="1" x14ac:dyDescent="0.2">
      <c r="A13" s="32">
        <v>11</v>
      </c>
      <c r="B13" s="9">
        <f t="shared" si="0"/>
        <v>0</v>
      </c>
      <c r="C13" s="4">
        <f t="shared" si="0"/>
        <v>0</v>
      </c>
      <c r="D13" s="4">
        <f t="shared" si="0"/>
        <v>0</v>
      </c>
      <c r="E13" s="4">
        <f t="shared" si="0"/>
        <v>0</v>
      </c>
      <c r="F13" s="4">
        <f t="shared" si="0"/>
        <v>0</v>
      </c>
      <c r="G13" s="4">
        <f t="shared" si="0"/>
        <v>0</v>
      </c>
      <c r="H13" s="4">
        <f t="shared" si="0"/>
        <v>0</v>
      </c>
      <c r="I13" s="4">
        <f t="shared" si="0"/>
        <v>0</v>
      </c>
      <c r="J13" s="4">
        <f t="shared" si="0"/>
        <v>0</v>
      </c>
      <c r="K13" s="5">
        <f t="shared" si="0"/>
        <v>0</v>
      </c>
      <c r="L13" s="5">
        <f t="shared" si="1"/>
        <v>0</v>
      </c>
      <c r="M13" s="5">
        <f t="shared" si="1"/>
        <v>0</v>
      </c>
      <c r="N13" s="5">
        <f t="shared" si="1"/>
        <v>0</v>
      </c>
      <c r="O13" s="5">
        <f t="shared" si="1"/>
        <v>0</v>
      </c>
      <c r="P13" s="5">
        <f t="shared" si="1"/>
        <v>0</v>
      </c>
      <c r="Q13" s="5">
        <f t="shared" si="1"/>
        <v>0</v>
      </c>
      <c r="R13" s="5">
        <f t="shared" si="1"/>
        <v>0</v>
      </c>
      <c r="S13" s="8">
        <f t="shared" si="1"/>
        <v>0</v>
      </c>
      <c r="T13" s="8">
        <f t="shared" si="1"/>
        <v>0</v>
      </c>
      <c r="U13" s="8">
        <f t="shared" si="1"/>
        <v>0</v>
      </c>
      <c r="V13" s="8">
        <f t="shared" si="1"/>
        <v>0</v>
      </c>
      <c r="W13" s="8">
        <f t="shared" si="1"/>
        <v>0</v>
      </c>
      <c r="X13" s="8">
        <f t="shared" si="1"/>
        <v>0</v>
      </c>
      <c r="Y13" s="8">
        <f t="shared" si="1"/>
        <v>0</v>
      </c>
      <c r="Z13" s="8">
        <f t="shared" si="1"/>
        <v>0</v>
      </c>
    </row>
    <row r="14" spans="1:26" hidden="1" x14ac:dyDescent="0.2">
      <c r="A14" s="32">
        <v>12</v>
      </c>
      <c r="B14" s="9">
        <f t="shared" si="0"/>
        <v>0</v>
      </c>
      <c r="C14" s="4">
        <f t="shared" si="0"/>
        <v>0</v>
      </c>
      <c r="D14" s="4">
        <f t="shared" si="0"/>
        <v>0</v>
      </c>
      <c r="E14" s="4">
        <f t="shared" si="0"/>
        <v>0</v>
      </c>
      <c r="F14" s="4">
        <f t="shared" si="0"/>
        <v>0</v>
      </c>
      <c r="G14" s="4">
        <f t="shared" si="0"/>
        <v>0</v>
      </c>
      <c r="H14" s="4">
        <f t="shared" si="0"/>
        <v>0</v>
      </c>
      <c r="I14" s="4">
        <f t="shared" si="0"/>
        <v>0</v>
      </c>
      <c r="J14" s="4">
        <f t="shared" si="0"/>
        <v>0</v>
      </c>
      <c r="K14" s="5">
        <f t="shared" si="0"/>
        <v>0</v>
      </c>
      <c r="L14" s="5">
        <f t="shared" si="1"/>
        <v>0</v>
      </c>
      <c r="M14" s="5">
        <f t="shared" si="1"/>
        <v>0</v>
      </c>
      <c r="N14" s="5">
        <f t="shared" si="1"/>
        <v>0</v>
      </c>
      <c r="O14" s="5">
        <f t="shared" si="1"/>
        <v>0</v>
      </c>
      <c r="P14" s="5">
        <f t="shared" si="1"/>
        <v>0</v>
      </c>
      <c r="Q14" s="5">
        <f t="shared" si="1"/>
        <v>0</v>
      </c>
      <c r="R14" s="5">
        <f t="shared" si="1"/>
        <v>0</v>
      </c>
      <c r="S14" s="8">
        <f t="shared" si="1"/>
        <v>0</v>
      </c>
      <c r="T14" s="8">
        <f t="shared" si="1"/>
        <v>0</v>
      </c>
      <c r="U14" s="8">
        <f t="shared" si="1"/>
        <v>0</v>
      </c>
      <c r="V14" s="8">
        <f t="shared" si="1"/>
        <v>0</v>
      </c>
      <c r="W14" s="8">
        <f t="shared" si="1"/>
        <v>0</v>
      </c>
      <c r="X14" s="8">
        <f t="shared" si="1"/>
        <v>0</v>
      </c>
      <c r="Y14" s="8">
        <f t="shared" si="1"/>
        <v>0</v>
      </c>
      <c r="Z14" s="8">
        <f t="shared" si="1"/>
        <v>0</v>
      </c>
    </row>
    <row r="15" spans="1:26" hidden="1" x14ac:dyDescent="0.2">
      <c r="A15" s="32">
        <v>13</v>
      </c>
      <c r="B15" s="9">
        <f t="shared" si="0"/>
        <v>0</v>
      </c>
      <c r="C15" s="4">
        <f t="shared" si="0"/>
        <v>0</v>
      </c>
      <c r="D15" s="4">
        <f>VLOOKUP($A15,Posiciones_Auxiliar,COLUMN(),0)</f>
        <v>0</v>
      </c>
      <c r="E15" s="4">
        <f t="shared" si="0"/>
        <v>0</v>
      </c>
      <c r="F15" s="4">
        <f t="shared" si="0"/>
        <v>0</v>
      </c>
      <c r="G15" s="4">
        <f t="shared" si="0"/>
        <v>0</v>
      </c>
      <c r="H15" s="4">
        <f t="shared" si="0"/>
        <v>0</v>
      </c>
      <c r="I15" s="4">
        <f t="shared" si="0"/>
        <v>0</v>
      </c>
      <c r="J15" s="4">
        <f t="shared" si="0"/>
        <v>0</v>
      </c>
      <c r="K15" s="5">
        <f t="shared" si="0"/>
        <v>0</v>
      </c>
      <c r="L15" s="5">
        <f t="shared" si="1"/>
        <v>0</v>
      </c>
      <c r="M15" s="5">
        <f t="shared" si="1"/>
        <v>0</v>
      </c>
      <c r="N15" s="5">
        <f t="shared" si="1"/>
        <v>0</v>
      </c>
      <c r="O15" s="5">
        <f t="shared" si="1"/>
        <v>0</v>
      </c>
      <c r="P15" s="5">
        <f t="shared" si="1"/>
        <v>0</v>
      </c>
      <c r="Q15" s="5">
        <f t="shared" si="1"/>
        <v>0</v>
      </c>
      <c r="R15" s="5">
        <f t="shared" si="1"/>
        <v>0</v>
      </c>
      <c r="S15" s="8">
        <f t="shared" si="1"/>
        <v>0</v>
      </c>
      <c r="T15" s="8">
        <f t="shared" si="1"/>
        <v>0</v>
      </c>
      <c r="U15" s="8">
        <f t="shared" si="1"/>
        <v>0</v>
      </c>
      <c r="V15" s="8">
        <f t="shared" si="1"/>
        <v>0</v>
      </c>
      <c r="W15" s="8">
        <f t="shared" si="1"/>
        <v>0</v>
      </c>
      <c r="X15" s="8">
        <f t="shared" si="1"/>
        <v>0</v>
      </c>
      <c r="Y15" s="8">
        <f t="shared" si="1"/>
        <v>0</v>
      </c>
      <c r="Z15" s="8">
        <f t="shared" si="1"/>
        <v>0</v>
      </c>
    </row>
    <row r="16" spans="1:26" hidden="1" x14ac:dyDescent="0.2">
      <c r="A16" s="32">
        <v>14</v>
      </c>
      <c r="B16" s="9">
        <f t="shared" si="0"/>
        <v>0</v>
      </c>
      <c r="C16" s="4">
        <f t="shared" si="0"/>
        <v>0</v>
      </c>
      <c r="D16" s="4">
        <f t="shared" si="0"/>
        <v>0</v>
      </c>
      <c r="E16" s="4">
        <f t="shared" si="0"/>
        <v>0</v>
      </c>
      <c r="F16" s="4">
        <f t="shared" si="0"/>
        <v>0</v>
      </c>
      <c r="G16" s="4">
        <f t="shared" si="0"/>
        <v>0</v>
      </c>
      <c r="H16" s="4">
        <f t="shared" si="0"/>
        <v>0</v>
      </c>
      <c r="I16" s="4">
        <f t="shared" si="0"/>
        <v>0</v>
      </c>
      <c r="J16" s="4">
        <f t="shared" si="0"/>
        <v>0</v>
      </c>
      <c r="K16" s="5">
        <f t="shared" si="0"/>
        <v>0</v>
      </c>
      <c r="L16" s="5">
        <f t="shared" si="1"/>
        <v>0</v>
      </c>
      <c r="M16" s="5">
        <f t="shared" si="1"/>
        <v>0</v>
      </c>
      <c r="N16" s="5">
        <f t="shared" si="1"/>
        <v>0</v>
      </c>
      <c r="O16" s="5">
        <f t="shared" si="1"/>
        <v>0</v>
      </c>
      <c r="P16" s="5">
        <f t="shared" si="1"/>
        <v>0</v>
      </c>
      <c r="Q16" s="5">
        <f t="shared" si="1"/>
        <v>0</v>
      </c>
      <c r="R16" s="5">
        <f t="shared" si="1"/>
        <v>0</v>
      </c>
      <c r="S16" s="8">
        <f t="shared" si="1"/>
        <v>0</v>
      </c>
      <c r="T16" s="8">
        <f t="shared" si="1"/>
        <v>0</v>
      </c>
      <c r="U16" s="8">
        <f t="shared" si="1"/>
        <v>0</v>
      </c>
      <c r="V16" s="8">
        <f t="shared" si="1"/>
        <v>0</v>
      </c>
      <c r="W16" s="8">
        <f t="shared" si="1"/>
        <v>0</v>
      </c>
      <c r="X16" s="8">
        <f t="shared" si="1"/>
        <v>0</v>
      </c>
      <c r="Y16" s="8">
        <f t="shared" si="1"/>
        <v>0</v>
      </c>
      <c r="Z16" s="8">
        <f t="shared" si="1"/>
        <v>0</v>
      </c>
    </row>
    <row r="17" spans="1:26" hidden="1" x14ac:dyDescent="0.2">
      <c r="A17" s="32">
        <v>15</v>
      </c>
      <c r="B17" s="9">
        <f t="shared" si="0"/>
        <v>0</v>
      </c>
      <c r="C17" s="4">
        <f t="shared" si="0"/>
        <v>0</v>
      </c>
      <c r="D17" s="4">
        <f t="shared" si="0"/>
        <v>0</v>
      </c>
      <c r="E17" s="4">
        <f t="shared" si="0"/>
        <v>0</v>
      </c>
      <c r="F17" s="4">
        <f t="shared" si="0"/>
        <v>0</v>
      </c>
      <c r="G17" s="4">
        <f t="shared" si="0"/>
        <v>0</v>
      </c>
      <c r="H17" s="4">
        <f t="shared" si="0"/>
        <v>0</v>
      </c>
      <c r="I17" s="4">
        <f t="shared" si="0"/>
        <v>0</v>
      </c>
      <c r="J17" s="4">
        <f t="shared" si="0"/>
        <v>0</v>
      </c>
      <c r="K17" s="5">
        <f t="shared" si="0"/>
        <v>0</v>
      </c>
      <c r="L17" s="5">
        <f t="shared" si="1"/>
        <v>0</v>
      </c>
      <c r="M17" s="5">
        <f t="shared" si="1"/>
        <v>0</v>
      </c>
      <c r="N17" s="5">
        <f t="shared" si="1"/>
        <v>0</v>
      </c>
      <c r="O17" s="5">
        <f t="shared" si="1"/>
        <v>0</v>
      </c>
      <c r="P17" s="5">
        <f t="shared" si="1"/>
        <v>0</v>
      </c>
      <c r="Q17" s="5">
        <f t="shared" si="1"/>
        <v>0</v>
      </c>
      <c r="R17" s="5">
        <f t="shared" si="1"/>
        <v>0</v>
      </c>
      <c r="S17" s="8">
        <f t="shared" si="1"/>
        <v>0</v>
      </c>
      <c r="T17" s="8">
        <f t="shared" si="1"/>
        <v>0</v>
      </c>
      <c r="U17" s="8">
        <f t="shared" si="1"/>
        <v>0</v>
      </c>
      <c r="V17" s="8">
        <f t="shared" si="1"/>
        <v>0</v>
      </c>
      <c r="W17" s="8">
        <f t="shared" si="1"/>
        <v>0</v>
      </c>
      <c r="X17" s="8">
        <f t="shared" si="1"/>
        <v>0</v>
      </c>
      <c r="Y17" s="8">
        <f t="shared" si="1"/>
        <v>0</v>
      </c>
      <c r="Z17" s="8">
        <f t="shared" si="1"/>
        <v>0</v>
      </c>
    </row>
    <row r="18" spans="1:26" hidden="1" x14ac:dyDescent="0.2">
      <c r="A18" s="32">
        <v>16</v>
      </c>
      <c r="B18" s="9">
        <f t="shared" si="0"/>
        <v>0</v>
      </c>
      <c r="C18" s="4">
        <f t="shared" si="0"/>
        <v>0</v>
      </c>
      <c r="D18" s="4">
        <f t="shared" si="0"/>
        <v>0</v>
      </c>
      <c r="E18" s="4">
        <f t="shared" si="0"/>
        <v>0</v>
      </c>
      <c r="F18" s="4">
        <f t="shared" si="0"/>
        <v>0</v>
      </c>
      <c r="G18" s="4">
        <f t="shared" si="0"/>
        <v>0</v>
      </c>
      <c r="H18" s="4">
        <f t="shared" si="0"/>
        <v>0</v>
      </c>
      <c r="I18" s="4">
        <f t="shared" si="0"/>
        <v>0</v>
      </c>
      <c r="J18" s="4">
        <f t="shared" si="0"/>
        <v>0</v>
      </c>
      <c r="K18" s="5">
        <f t="shared" si="0"/>
        <v>0</v>
      </c>
      <c r="L18" s="5">
        <f t="shared" si="1"/>
        <v>0</v>
      </c>
      <c r="M18" s="5">
        <f t="shared" si="1"/>
        <v>0</v>
      </c>
      <c r="N18" s="5">
        <f t="shared" si="1"/>
        <v>0</v>
      </c>
      <c r="O18" s="5">
        <f t="shared" si="1"/>
        <v>0</v>
      </c>
      <c r="P18" s="5">
        <f t="shared" si="1"/>
        <v>0</v>
      </c>
      <c r="Q18" s="5">
        <f t="shared" si="1"/>
        <v>0</v>
      </c>
      <c r="R18" s="5">
        <f t="shared" si="1"/>
        <v>0</v>
      </c>
      <c r="S18" s="8">
        <f t="shared" si="1"/>
        <v>0</v>
      </c>
      <c r="T18" s="8">
        <f t="shared" si="1"/>
        <v>0</v>
      </c>
      <c r="U18" s="8">
        <f t="shared" si="1"/>
        <v>0</v>
      </c>
      <c r="V18" s="8">
        <f t="shared" si="1"/>
        <v>0</v>
      </c>
      <c r="W18" s="8">
        <f t="shared" si="1"/>
        <v>0</v>
      </c>
      <c r="X18" s="8">
        <f t="shared" si="1"/>
        <v>0</v>
      </c>
      <c r="Y18" s="8">
        <f t="shared" si="1"/>
        <v>0</v>
      </c>
      <c r="Z18" s="8">
        <f t="shared" si="1"/>
        <v>0</v>
      </c>
    </row>
    <row r="19" spans="1:26" hidden="1" x14ac:dyDescent="0.2">
      <c r="A19" s="32">
        <v>17</v>
      </c>
      <c r="B19" s="9">
        <f t="shared" ref="B19:Q35" si="2">VLOOKUP($A19,Posiciones_Auxiliar,COLUMN(),0)</f>
        <v>0</v>
      </c>
      <c r="C19" s="4">
        <f t="shared" si="2"/>
        <v>0</v>
      </c>
      <c r="D19" s="4">
        <f t="shared" si="2"/>
        <v>0</v>
      </c>
      <c r="E19" s="4">
        <f t="shared" si="2"/>
        <v>0</v>
      </c>
      <c r="F19" s="4">
        <f t="shared" si="2"/>
        <v>0</v>
      </c>
      <c r="G19" s="4">
        <f t="shared" si="2"/>
        <v>0</v>
      </c>
      <c r="H19" s="4">
        <f t="shared" si="2"/>
        <v>0</v>
      </c>
      <c r="I19" s="4">
        <f t="shared" si="2"/>
        <v>0</v>
      </c>
      <c r="J19" s="4">
        <f t="shared" si="2"/>
        <v>0</v>
      </c>
      <c r="K19" s="5">
        <f t="shared" si="2"/>
        <v>0</v>
      </c>
      <c r="L19" s="5">
        <f t="shared" si="2"/>
        <v>0</v>
      </c>
      <c r="M19" s="5">
        <f t="shared" si="2"/>
        <v>0</v>
      </c>
      <c r="N19" s="5">
        <f t="shared" si="2"/>
        <v>0</v>
      </c>
      <c r="O19" s="5">
        <f t="shared" si="2"/>
        <v>0</v>
      </c>
      <c r="P19" s="5">
        <f t="shared" si="2"/>
        <v>0</v>
      </c>
      <c r="Q19" s="5">
        <f t="shared" si="2"/>
        <v>0</v>
      </c>
      <c r="R19" s="5">
        <f t="shared" ref="L19:Z35" si="3">VLOOKUP($A19,Posiciones_Auxiliar,COLUMN(),0)</f>
        <v>0</v>
      </c>
      <c r="S19" s="8">
        <f t="shared" si="3"/>
        <v>0</v>
      </c>
      <c r="T19" s="8">
        <f t="shared" si="3"/>
        <v>0</v>
      </c>
      <c r="U19" s="8">
        <f t="shared" si="3"/>
        <v>0</v>
      </c>
      <c r="V19" s="8">
        <f t="shared" si="3"/>
        <v>0</v>
      </c>
      <c r="W19" s="8">
        <f t="shared" si="3"/>
        <v>0</v>
      </c>
      <c r="X19" s="8">
        <f t="shared" si="3"/>
        <v>0</v>
      </c>
      <c r="Y19" s="8">
        <f t="shared" si="3"/>
        <v>0</v>
      </c>
      <c r="Z19" s="8">
        <f t="shared" si="3"/>
        <v>0</v>
      </c>
    </row>
    <row r="20" spans="1:26" hidden="1" x14ac:dyDescent="0.2">
      <c r="A20" s="32">
        <v>18</v>
      </c>
      <c r="B20" s="9">
        <f t="shared" si="2"/>
        <v>0</v>
      </c>
      <c r="C20" s="4">
        <f t="shared" si="2"/>
        <v>0</v>
      </c>
      <c r="D20" s="4">
        <f t="shared" si="2"/>
        <v>0</v>
      </c>
      <c r="E20" s="4">
        <f t="shared" si="2"/>
        <v>0</v>
      </c>
      <c r="F20" s="4">
        <f t="shared" si="2"/>
        <v>0</v>
      </c>
      <c r="G20" s="4">
        <f t="shared" si="2"/>
        <v>0</v>
      </c>
      <c r="H20" s="4">
        <f t="shared" si="2"/>
        <v>0</v>
      </c>
      <c r="I20" s="4">
        <f t="shared" si="2"/>
        <v>0</v>
      </c>
      <c r="J20" s="4">
        <f t="shared" si="2"/>
        <v>0</v>
      </c>
      <c r="K20" s="5">
        <f t="shared" si="2"/>
        <v>0</v>
      </c>
      <c r="L20" s="5">
        <f t="shared" si="3"/>
        <v>0</v>
      </c>
      <c r="M20" s="5">
        <f t="shared" si="3"/>
        <v>0</v>
      </c>
      <c r="N20" s="5">
        <f t="shared" si="3"/>
        <v>0</v>
      </c>
      <c r="O20" s="5">
        <f t="shared" si="3"/>
        <v>0</v>
      </c>
      <c r="P20" s="5">
        <f t="shared" si="3"/>
        <v>0</v>
      </c>
      <c r="Q20" s="5">
        <f t="shared" si="3"/>
        <v>0</v>
      </c>
      <c r="R20" s="5">
        <f t="shared" si="3"/>
        <v>0</v>
      </c>
      <c r="S20" s="8">
        <f t="shared" si="3"/>
        <v>0</v>
      </c>
      <c r="T20" s="8">
        <f t="shared" si="3"/>
        <v>0</v>
      </c>
      <c r="U20" s="8">
        <f t="shared" si="3"/>
        <v>0</v>
      </c>
      <c r="V20" s="8">
        <f t="shared" si="3"/>
        <v>0</v>
      </c>
      <c r="W20" s="8">
        <f t="shared" si="3"/>
        <v>0</v>
      </c>
      <c r="X20" s="8">
        <f t="shared" si="3"/>
        <v>0</v>
      </c>
      <c r="Y20" s="8">
        <f t="shared" si="3"/>
        <v>0</v>
      </c>
      <c r="Z20" s="8">
        <f t="shared" si="3"/>
        <v>0</v>
      </c>
    </row>
    <row r="21" spans="1:26" hidden="1" x14ac:dyDescent="0.2">
      <c r="A21" s="32">
        <v>19</v>
      </c>
      <c r="B21" s="9">
        <f t="shared" si="2"/>
        <v>0</v>
      </c>
      <c r="C21" s="4">
        <f t="shared" si="2"/>
        <v>0</v>
      </c>
      <c r="D21" s="4">
        <f t="shared" si="2"/>
        <v>0</v>
      </c>
      <c r="E21" s="4">
        <f t="shared" si="2"/>
        <v>0</v>
      </c>
      <c r="F21" s="4">
        <f t="shared" si="2"/>
        <v>0</v>
      </c>
      <c r="G21" s="4">
        <f t="shared" si="2"/>
        <v>0</v>
      </c>
      <c r="H21" s="4">
        <f t="shared" si="2"/>
        <v>0</v>
      </c>
      <c r="I21" s="4">
        <f t="shared" si="2"/>
        <v>0</v>
      </c>
      <c r="J21" s="4">
        <f t="shared" si="2"/>
        <v>0</v>
      </c>
      <c r="K21" s="5">
        <f t="shared" si="2"/>
        <v>0</v>
      </c>
      <c r="L21" s="5">
        <f t="shared" si="3"/>
        <v>0</v>
      </c>
      <c r="M21" s="5">
        <f t="shared" si="3"/>
        <v>0</v>
      </c>
      <c r="N21" s="5">
        <f t="shared" si="3"/>
        <v>0</v>
      </c>
      <c r="O21" s="5">
        <f t="shared" si="3"/>
        <v>0</v>
      </c>
      <c r="P21" s="5">
        <f t="shared" si="3"/>
        <v>0</v>
      </c>
      <c r="Q21" s="5">
        <f t="shared" si="3"/>
        <v>0</v>
      </c>
      <c r="R21" s="5">
        <f t="shared" si="3"/>
        <v>0</v>
      </c>
      <c r="S21" s="8">
        <f t="shared" si="3"/>
        <v>0</v>
      </c>
      <c r="T21" s="8">
        <f t="shared" si="3"/>
        <v>0</v>
      </c>
      <c r="U21" s="8">
        <f t="shared" si="3"/>
        <v>0</v>
      </c>
      <c r="V21" s="8">
        <f t="shared" si="3"/>
        <v>0</v>
      </c>
      <c r="W21" s="8">
        <f t="shared" si="3"/>
        <v>0</v>
      </c>
      <c r="X21" s="8">
        <f t="shared" si="3"/>
        <v>0</v>
      </c>
      <c r="Y21" s="8">
        <f t="shared" si="3"/>
        <v>0</v>
      </c>
      <c r="Z21" s="8">
        <f t="shared" si="3"/>
        <v>0</v>
      </c>
    </row>
    <row r="22" spans="1:26" hidden="1" x14ac:dyDescent="0.2">
      <c r="A22" s="32">
        <v>20</v>
      </c>
      <c r="B22" s="9">
        <f t="shared" si="2"/>
        <v>0</v>
      </c>
      <c r="C22" s="4">
        <f t="shared" si="2"/>
        <v>0</v>
      </c>
      <c r="D22" s="4">
        <f t="shared" si="2"/>
        <v>0</v>
      </c>
      <c r="E22" s="4">
        <f t="shared" si="2"/>
        <v>0</v>
      </c>
      <c r="F22" s="4">
        <f t="shared" si="2"/>
        <v>0</v>
      </c>
      <c r="G22" s="4">
        <f t="shared" si="2"/>
        <v>0</v>
      </c>
      <c r="H22" s="4">
        <f t="shared" si="2"/>
        <v>0</v>
      </c>
      <c r="I22" s="4">
        <f t="shared" si="2"/>
        <v>0</v>
      </c>
      <c r="J22" s="4">
        <f t="shared" si="2"/>
        <v>0</v>
      </c>
      <c r="K22" s="5">
        <f t="shared" si="2"/>
        <v>0</v>
      </c>
      <c r="L22" s="5">
        <f t="shared" si="3"/>
        <v>0</v>
      </c>
      <c r="M22" s="5">
        <f t="shared" si="3"/>
        <v>0</v>
      </c>
      <c r="N22" s="5">
        <f t="shared" si="3"/>
        <v>0</v>
      </c>
      <c r="O22" s="5">
        <f t="shared" si="3"/>
        <v>0</v>
      </c>
      <c r="P22" s="5">
        <f t="shared" si="3"/>
        <v>0</v>
      </c>
      <c r="Q22" s="5">
        <f t="shared" si="3"/>
        <v>0</v>
      </c>
      <c r="R22" s="5">
        <f t="shared" si="3"/>
        <v>0</v>
      </c>
      <c r="S22" s="8">
        <f t="shared" si="3"/>
        <v>0</v>
      </c>
      <c r="T22" s="8">
        <f t="shared" si="3"/>
        <v>0</v>
      </c>
      <c r="U22" s="8">
        <f t="shared" si="3"/>
        <v>0</v>
      </c>
      <c r="V22" s="8">
        <f t="shared" si="3"/>
        <v>0</v>
      </c>
      <c r="W22" s="8">
        <f t="shared" si="3"/>
        <v>0</v>
      </c>
      <c r="X22" s="8">
        <f t="shared" si="3"/>
        <v>0</v>
      </c>
      <c r="Y22" s="8">
        <f t="shared" si="3"/>
        <v>0</v>
      </c>
      <c r="Z22" s="8">
        <f t="shared" si="3"/>
        <v>0</v>
      </c>
    </row>
    <row r="23" spans="1:26" hidden="1" x14ac:dyDescent="0.2">
      <c r="A23" s="32">
        <v>21</v>
      </c>
      <c r="B23" s="9">
        <f t="shared" si="2"/>
        <v>0</v>
      </c>
      <c r="C23" s="4">
        <f t="shared" si="2"/>
        <v>0</v>
      </c>
      <c r="D23" s="4">
        <f t="shared" si="2"/>
        <v>0</v>
      </c>
      <c r="E23" s="4">
        <f t="shared" si="2"/>
        <v>0</v>
      </c>
      <c r="F23" s="4">
        <f t="shared" si="2"/>
        <v>0</v>
      </c>
      <c r="G23" s="4">
        <f t="shared" si="2"/>
        <v>0</v>
      </c>
      <c r="H23" s="4">
        <f t="shared" si="2"/>
        <v>0</v>
      </c>
      <c r="I23" s="4">
        <f t="shared" si="2"/>
        <v>0</v>
      </c>
      <c r="J23" s="4">
        <f t="shared" si="2"/>
        <v>0</v>
      </c>
      <c r="K23" s="5">
        <f t="shared" si="2"/>
        <v>0</v>
      </c>
      <c r="L23" s="5">
        <f t="shared" si="3"/>
        <v>0</v>
      </c>
      <c r="M23" s="5">
        <f t="shared" si="3"/>
        <v>0</v>
      </c>
      <c r="N23" s="5">
        <f t="shared" si="3"/>
        <v>0</v>
      </c>
      <c r="O23" s="5">
        <f t="shared" si="3"/>
        <v>0</v>
      </c>
      <c r="P23" s="5">
        <f t="shared" si="3"/>
        <v>0</v>
      </c>
      <c r="Q23" s="5">
        <f t="shared" si="3"/>
        <v>0</v>
      </c>
      <c r="R23" s="5">
        <f t="shared" si="3"/>
        <v>0</v>
      </c>
      <c r="S23" s="8">
        <f t="shared" si="3"/>
        <v>0</v>
      </c>
      <c r="T23" s="8">
        <f t="shared" si="3"/>
        <v>0</v>
      </c>
      <c r="U23" s="8">
        <f t="shared" si="3"/>
        <v>0</v>
      </c>
      <c r="V23" s="8">
        <f t="shared" si="3"/>
        <v>0</v>
      </c>
      <c r="W23" s="8">
        <f t="shared" si="3"/>
        <v>0</v>
      </c>
      <c r="X23" s="8">
        <f t="shared" si="3"/>
        <v>0</v>
      </c>
      <c r="Y23" s="8">
        <f t="shared" si="3"/>
        <v>0</v>
      </c>
      <c r="Z23" s="8">
        <f t="shared" si="3"/>
        <v>0</v>
      </c>
    </row>
    <row r="24" spans="1:26" hidden="1" x14ac:dyDescent="0.2">
      <c r="A24" s="32">
        <v>22</v>
      </c>
      <c r="B24" s="9">
        <f t="shared" si="2"/>
        <v>0</v>
      </c>
      <c r="C24" s="4">
        <f t="shared" si="2"/>
        <v>0</v>
      </c>
      <c r="D24" s="4">
        <f t="shared" si="2"/>
        <v>0</v>
      </c>
      <c r="E24" s="4">
        <f t="shared" si="2"/>
        <v>0</v>
      </c>
      <c r="F24" s="4">
        <f t="shared" si="2"/>
        <v>0</v>
      </c>
      <c r="G24" s="4">
        <f t="shared" si="2"/>
        <v>0</v>
      </c>
      <c r="H24" s="4">
        <f t="shared" si="2"/>
        <v>0</v>
      </c>
      <c r="I24" s="4">
        <f t="shared" si="2"/>
        <v>0</v>
      </c>
      <c r="J24" s="4">
        <f t="shared" si="2"/>
        <v>0</v>
      </c>
      <c r="K24" s="5">
        <f t="shared" si="2"/>
        <v>0</v>
      </c>
      <c r="L24" s="5">
        <f t="shared" si="3"/>
        <v>0</v>
      </c>
      <c r="M24" s="5">
        <f t="shared" si="3"/>
        <v>0</v>
      </c>
      <c r="N24" s="5">
        <f t="shared" si="3"/>
        <v>0</v>
      </c>
      <c r="O24" s="5">
        <f t="shared" si="3"/>
        <v>0</v>
      </c>
      <c r="P24" s="5">
        <f t="shared" si="3"/>
        <v>0</v>
      </c>
      <c r="Q24" s="5">
        <f t="shared" si="3"/>
        <v>0</v>
      </c>
      <c r="R24" s="5">
        <f t="shared" si="3"/>
        <v>0</v>
      </c>
      <c r="S24" s="8">
        <f t="shared" si="3"/>
        <v>0</v>
      </c>
      <c r="T24" s="8">
        <f t="shared" si="3"/>
        <v>0</v>
      </c>
      <c r="U24" s="8">
        <f t="shared" si="3"/>
        <v>0</v>
      </c>
      <c r="V24" s="8">
        <f t="shared" si="3"/>
        <v>0</v>
      </c>
      <c r="W24" s="8">
        <f t="shared" si="3"/>
        <v>0</v>
      </c>
      <c r="X24" s="8">
        <f t="shared" si="3"/>
        <v>0</v>
      </c>
      <c r="Y24" s="8">
        <f t="shared" si="3"/>
        <v>0</v>
      </c>
      <c r="Z24" s="8">
        <f t="shared" si="3"/>
        <v>0</v>
      </c>
    </row>
    <row r="25" spans="1:26" hidden="1" x14ac:dyDescent="0.2">
      <c r="A25" s="32">
        <v>23</v>
      </c>
      <c r="B25" s="9">
        <f t="shared" si="2"/>
        <v>0</v>
      </c>
      <c r="C25" s="4">
        <f t="shared" si="2"/>
        <v>0</v>
      </c>
      <c r="D25" s="4">
        <f t="shared" si="2"/>
        <v>0</v>
      </c>
      <c r="E25" s="4">
        <f t="shared" si="2"/>
        <v>0</v>
      </c>
      <c r="F25" s="4">
        <f t="shared" si="2"/>
        <v>0</v>
      </c>
      <c r="G25" s="4">
        <f t="shared" si="2"/>
        <v>0</v>
      </c>
      <c r="H25" s="4">
        <f t="shared" si="2"/>
        <v>0</v>
      </c>
      <c r="I25" s="4">
        <f t="shared" si="2"/>
        <v>0</v>
      </c>
      <c r="J25" s="4">
        <f t="shared" si="2"/>
        <v>0</v>
      </c>
      <c r="K25" s="5">
        <f t="shared" si="2"/>
        <v>0</v>
      </c>
      <c r="L25" s="5">
        <f t="shared" si="3"/>
        <v>0</v>
      </c>
      <c r="M25" s="5">
        <f t="shared" si="3"/>
        <v>0</v>
      </c>
      <c r="N25" s="5">
        <f t="shared" si="3"/>
        <v>0</v>
      </c>
      <c r="O25" s="5">
        <f t="shared" si="3"/>
        <v>0</v>
      </c>
      <c r="P25" s="5">
        <f t="shared" si="3"/>
        <v>0</v>
      </c>
      <c r="Q25" s="5">
        <f t="shared" si="3"/>
        <v>0</v>
      </c>
      <c r="R25" s="5">
        <f t="shared" si="3"/>
        <v>0</v>
      </c>
      <c r="S25" s="8">
        <f t="shared" si="3"/>
        <v>0</v>
      </c>
      <c r="T25" s="8">
        <f t="shared" si="3"/>
        <v>0</v>
      </c>
      <c r="U25" s="8">
        <f t="shared" si="3"/>
        <v>0</v>
      </c>
      <c r="V25" s="8">
        <f t="shared" si="3"/>
        <v>0</v>
      </c>
      <c r="W25" s="8">
        <f t="shared" si="3"/>
        <v>0</v>
      </c>
      <c r="X25" s="8">
        <f t="shared" si="3"/>
        <v>0</v>
      </c>
      <c r="Y25" s="8">
        <f t="shared" si="3"/>
        <v>0</v>
      </c>
      <c r="Z25" s="8">
        <f t="shared" si="3"/>
        <v>0</v>
      </c>
    </row>
    <row r="26" spans="1:26" hidden="1" x14ac:dyDescent="0.2">
      <c r="A26" s="32">
        <v>24</v>
      </c>
      <c r="B26" s="9">
        <f t="shared" si="2"/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4">
        <f t="shared" si="2"/>
        <v>0</v>
      </c>
      <c r="H26" s="4">
        <f t="shared" si="2"/>
        <v>0</v>
      </c>
      <c r="I26" s="4">
        <f t="shared" si="2"/>
        <v>0</v>
      </c>
      <c r="J26" s="4">
        <f t="shared" si="2"/>
        <v>0</v>
      </c>
      <c r="K26" s="5">
        <f t="shared" si="2"/>
        <v>0</v>
      </c>
      <c r="L26" s="5">
        <f t="shared" si="3"/>
        <v>0</v>
      </c>
      <c r="M26" s="5">
        <f t="shared" si="3"/>
        <v>0</v>
      </c>
      <c r="N26" s="5">
        <f t="shared" si="3"/>
        <v>0</v>
      </c>
      <c r="O26" s="5">
        <f t="shared" si="3"/>
        <v>0</v>
      </c>
      <c r="P26" s="5">
        <f t="shared" si="3"/>
        <v>0</v>
      </c>
      <c r="Q26" s="5">
        <f t="shared" si="3"/>
        <v>0</v>
      </c>
      <c r="R26" s="5">
        <f t="shared" si="3"/>
        <v>0</v>
      </c>
      <c r="S26" s="8">
        <f t="shared" si="3"/>
        <v>0</v>
      </c>
      <c r="T26" s="8">
        <f t="shared" si="3"/>
        <v>0</v>
      </c>
      <c r="U26" s="8">
        <f t="shared" si="3"/>
        <v>0</v>
      </c>
      <c r="V26" s="8">
        <f t="shared" si="3"/>
        <v>0</v>
      </c>
      <c r="W26" s="8">
        <f t="shared" si="3"/>
        <v>0</v>
      </c>
      <c r="X26" s="8">
        <f t="shared" si="3"/>
        <v>0</v>
      </c>
      <c r="Y26" s="8">
        <f t="shared" si="3"/>
        <v>0</v>
      </c>
      <c r="Z26" s="8">
        <f t="shared" si="3"/>
        <v>0</v>
      </c>
    </row>
    <row r="27" spans="1:26" hidden="1" x14ac:dyDescent="0.2">
      <c r="A27" s="32">
        <v>25</v>
      </c>
      <c r="B27" s="9" t="str">
        <f t="shared" si="2"/>
        <v>Equipo 25</v>
      </c>
      <c r="C27" s="4">
        <f t="shared" si="2"/>
        <v>0</v>
      </c>
      <c r="D27" s="4">
        <f t="shared" si="2"/>
        <v>0</v>
      </c>
      <c r="E27" s="4">
        <f t="shared" si="2"/>
        <v>0</v>
      </c>
      <c r="F27" s="4">
        <f t="shared" si="2"/>
        <v>0</v>
      </c>
      <c r="G27" s="4">
        <f t="shared" si="2"/>
        <v>0</v>
      </c>
      <c r="H27" s="4">
        <f t="shared" si="2"/>
        <v>0</v>
      </c>
      <c r="I27" s="4">
        <f t="shared" si="2"/>
        <v>0</v>
      </c>
      <c r="J27" s="4">
        <f t="shared" si="2"/>
        <v>0</v>
      </c>
      <c r="K27" s="5">
        <f t="shared" si="2"/>
        <v>0</v>
      </c>
      <c r="L27" s="5">
        <f t="shared" si="3"/>
        <v>0</v>
      </c>
      <c r="M27" s="5">
        <f t="shared" si="3"/>
        <v>0</v>
      </c>
      <c r="N27" s="5">
        <f t="shared" si="3"/>
        <v>0</v>
      </c>
      <c r="O27" s="5">
        <f t="shared" si="3"/>
        <v>0</v>
      </c>
      <c r="P27" s="5">
        <f t="shared" si="3"/>
        <v>0</v>
      </c>
      <c r="Q27" s="5">
        <f t="shared" si="3"/>
        <v>0</v>
      </c>
      <c r="R27" s="5">
        <f t="shared" si="3"/>
        <v>0</v>
      </c>
      <c r="S27" s="8">
        <f t="shared" si="3"/>
        <v>0</v>
      </c>
      <c r="T27" s="8">
        <f t="shared" si="3"/>
        <v>0</v>
      </c>
      <c r="U27" s="8">
        <f t="shared" si="3"/>
        <v>0</v>
      </c>
      <c r="V27" s="8">
        <f t="shared" si="3"/>
        <v>0</v>
      </c>
      <c r="W27" s="8">
        <f t="shared" si="3"/>
        <v>0</v>
      </c>
      <c r="X27" s="8">
        <f t="shared" si="3"/>
        <v>0</v>
      </c>
      <c r="Y27" s="8">
        <f t="shared" si="3"/>
        <v>0</v>
      </c>
      <c r="Z27" s="8">
        <f t="shared" si="3"/>
        <v>0</v>
      </c>
    </row>
    <row r="28" spans="1:26" hidden="1" x14ac:dyDescent="0.2">
      <c r="A28" s="32">
        <v>26</v>
      </c>
      <c r="B28" s="9" t="str">
        <f t="shared" si="2"/>
        <v>Equipo 26</v>
      </c>
      <c r="C28" s="4">
        <f t="shared" si="2"/>
        <v>0</v>
      </c>
      <c r="D28" s="4">
        <f t="shared" si="2"/>
        <v>0</v>
      </c>
      <c r="E28" s="4">
        <f t="shared" si="2"/>
        <v>0</v>
      </c>
      <c r="F28" s="4">
        <f t="shared" si="2"/>
        <v>0</v>
      </c>
      <c r="G28" s="4">
        <f t="shared" si="2"/>
        <v>0</v>
      </c>
      <c r="H28" s="4">
        <f t="shared" si="2"/>
        <v>0</v>
      </c>
      <c r="I28" s="4">
        <f t="shared" si="2"/>
        <v>0</v>
      </c>
      <c r="J28" s="4">
        <f t="shared" si="2"/>
        <v>0</v>
      </c>
      <c r="K28" s="5">
        <f t="shared" si="2"/>
        <v>0</v>
      </c>
      <c r="L28" s="5">
        <f t="shared" si="3"/>
        <v>0</v>
      </c>
      <c r="M28" s="5">
        <f t="shared" si="3"/>
        <v>0</v>
      </c>
      <c r="N28" s="5">
        <f t="shared" si="3"/>
        <v>0</v>
      </c>
      <c r="O28" s="5">
        <f t="shared" si="3"/>
        <v>0</v>
      </c>
      <c r="P28" s="5">
        <f t="shared" si="3"/>
        <v>0</v>
      </c>
      <c r="Q28" s="5">
        <f t="shared" si="3"/>
        <v>0</v>
      </c>
      <c r="R28" s="5">
        <f t="shared" si="3"/>
        <v>0</v>
      </c>
      <c r="S28" s="8">
        <f t="shared" si="3"/>
        <v>0</v>
      </c>
      <c r="T28" s="8">
        <f t="shared" si="3"/>
        <v>0</v>
      </c>
      <c r="U28" s="8">
        <f t="shared" si="3"/>
        <v>0</v>
      </c>
      <c r="V28" s="8">
        <f t="shared" si="3"/>
        <v>0</v>
      </c>
      <c r="W28" s="8">
        <f t="shared" si="3"/>
        <v>0</v>
      </c>
      <c r="X28" s="8">
        <f t="shared" si="3"/>
        <v>0</v>
      </c>
      <c r="Y28" s="8">
        <f t="shared" si="3"/>
        <v>0</v>
      </c>
      <c r="Z28" s="8">
        <f t="shared" si="3"/>
        <v>0</v>
      </c>
    </row>
    <row r="29" spans="1:26" hidden="1" x14ac:dyDescent="0.2">
      <c r="A29" s="32">
        <v>27</v>
      </c>
      <c r="B29" s="9" t="str">
        <f t="shared" si="2"/>
        <v>Equipo 27</v>
      </c>
      <c r="C29" s="4">
        <f t="shared" si="2"/>
        <v>0</v>
      </c>
      <c r="D29" s="4">
        <f t="shared" si="2"/>
        <v>0</v>
      </c>
      <c r="E29" s="4">
        <f t="shared" si="2"/>
        <v>0</v>
      </c>
      <c r="F29" s="4">
        <f t="shared" si="2"/>
        <v>0</v>
      </c>
      <c r="G29" s="4">
        <f t="shared" si="2"/>
        <v>0</v>
      </c>
      <c r="H29" s="4">
        <f t="shared" si="2"/>
        <v>0</v>
      </c>
      <c r="I29" s="4">
        <f t="shared" si="2"/>
        <v>0</v>
      </c>
      <c r="J29" s="4">
        <f t="shared" si="2"/>
        <v>0</v>
      </c>
      <c r="K29" s="5">
        <f t="shared" si="2"/>
        <v>0</v>
      </c>
      <c r="L29" s="5">
        <f t="shared" si="3"/>
        <v>0</v>
      </c>
      <c r="M29" s="5">
        <f t="shared" si="3"/>
        <v>0</v>
      </c>
      <c r="N29" s="5">
        <f t="shared" si="3"/>
        <v>0</v>
      </c>
      <c r="O29" s="5">
        <f t="shared" si="3"/>
        <v>0</v>
      </c>
      <c r="P29" s="5">
        <f t="shared" si="3"/>
        <v>0</v>
      </c>
      <c r="Q29" s="5">
        <f t="shared" si="3"/>
        <v>0</v>
      </c>
      <c r="R29" s="5">
        <f t="shared" si="3"/>
        <v>0</v>
      </c>
      <c r="S29" s="8">
        <f t="shared" si="3"/>
        <v>0</v>
      </c>
      <c r="T29" s="8">
        <f t="shared" si="3"/>
        <v>0</v>
      </c>
      <c r="U29" s="8">
        <f t="shared" si="3"/>
        <v>0</v>
      </c>
      <c r="V29" s="8">
        <f t="shared" si="3"/>
        <v>0</v>
      </c>
      <c r="W29" s="8">
        <f t="shared" si="3"/>
        <v>0</v>
      </c>
      <c r="X29" s="8">
        <f t="shared" si="3"/>
        <v>0</v>
      </c>
      <c r="Y29" s="8">
        <f t="shared" si="3"/>
        <v>0</v>
      </c>
      <c r="Z29" s="8">
        <f t="shared" si="3"/>
        <v>0</v>
      </c>
    </row>
    <row r="30" spans="1:26" hidden="1" x14ac:dyDescent="0.2">
      <c r="A30" s="32">
        <v>28</v>
      </c>
      <c r="B30" s="9" t="str">
        <f t="shared" si="2"/>
        <v>Equipo 28</v>
      </c>
      <c r="C30" s="4">
        <f t="shared" si="2"/>
        <v>0</v>
      </c>
      <c r="D30" s="4">
        <f t="shared" si="2"/>
        <v>0</v>
      </c>
      <c r="E30" s="4">
        <f t="shared" si="2"/>
        <v>0</v>
      </c>
      <c r="F30" s="4">
        <f t="shared" si="2"/>
        <v>0</v>
      </c>
      <c r="G30" s="4">
        <f t="shared" si="2"/>
        <v>0</v>
      </c>
      <c r="H30" s="4">
        <f t="shared" si="2"/>
        <v>0</v>
      </c>
      <c r="I30" s="4">
        <f t="shared" si="2"/>
        <v>0</v>
      </c>
      <c r="J30" s="4">
        <f t="shared" si="2"/>
        <v>0</v>
      </c>
      <c r="K30" s="5">
        <f t="shared" si="2"/>
        <v>0</v>
      </c>
      <c r="L30" s="5">
        <f t="shared" si="3"/>
        <v>0</v>
      </c>
      <c r="M30" s="5">
        <f t="shared" si="3"/>
        <v>0</v>
      </c>
      <c r="N30" s="5">
        <f t="shared" si="3"/>
        <v>0</v>
      </c>
      <c r="O30" s="5">
        <f t="shared" si="3"/>
        <v>0</v>
      </c>
      <c r="P30" s="5">
        <f t="shared" si="3"/>
        <v>0</v>
      </c>
      <c r="Q30" s="5">
        <f t="shared" si="3"/>
        <v>0</v>
      </c>
      <c r="R30" s="5">
        <f t="shared" si="3"/>
        <v>0</v>
      </c>
      <c r="S30" s="8">
        <f t="shared" si="3"/>
        <v>0</v>
      </c>
      <c r="T30" s="8">
        <f t="shared" si="3"/>
        <v>0</v>
      </c>
      <c r="U30" s="8">
        <f t="shared" si="3"/>
        <v>0</v>
      </c>
      <c r="V30" s="8">
        <f t="shared" si="3"/>
        <v>0</v>
      </c>
      <c r="W30" s="8">
        <f t="shared" si="3"/>
        <v>0</v>
      </c>
      <c r="X30" s="8">
        <f t="shared" si="3"/>
        <v>0</v>
      </c>
      <c r="Y30" s="8">
        <f t="shared" si="3"/>
        <v>0</v>
      </c>
      <c r="Z30" s="8">
        <f t="shared" si="3"/>
        <v>0</v>
      </c>
    </row>
    <row r="31" spans="1:26" hidden="1" x14ac:dyDescent="0.2">
      <c r="A31" s="32">
        <v>29</v>
      </c>
      <c r="B31" s="9" t="str">
        <f t="shared" si="2"/>
        <v>Equipo 29</v>
      </c>
      <c r="C31" s="4">
        <f t="shared" si="2"/>
        <v>0</v>
      </c>
      <c r="D31" s="4">
        <f t="shared" si="2"/>
        <v>0</v>
      </c>
      <c r="E31" s="4">
        <f t="shared" si="2"/>
        <v>0</v>
      </c>
      <c r="F31" s="4">
        <f t="shared" si="2"/>
        <v>0</v>
      </c>
      <c r="G31" s="4">
        <f t="shared" si="2"/>
        <v>0</v>
      </c>
      <c r="H31" s="4">
        <f t="shared" si="2"/>
        <v>0</v>
      </c>
      <c r="I31" s="4">
        <f t="shared" si="2"/>
        <v>0</v>
      </c>
      <c r="J31" s="4">
        <f t="shared" si="2"/>
        <v>0</v>
      </c>
      <c r="K31" s="5">
        <f t="shared" si="2"/>
        <v>0</v>
      </c>
      <c r="L31" s="5">
        <f t="shared" si="3"/>
        <v>0</v>
      </c>
      <c r="M31" s="5">
        <f t="shared" si="3"/>
        <v>0</v>
      </c>
      <c r="N31" s="5">
        <f t="shared" si="3"/>
        <v>0</v>
      </c>
      <c r="O31" s="5">
        <f t="shared" si="3"/>
        <v>0</v>
      </c>
      <c r="P31" s="5">
        <f t="shared" si="3"/>
        <v>0</v>
      </c>
      <c r="Q31" s="5">
        <f t="shared" si="3"/>
        <v>0</v>
      </c>
      <c r="R31" s="5">
        <f t="shared" si="3"/>
        <v>0</v>
      </c>
      <c r="S31" s="8">
        <f t="shared" si="3"/>
        <v>0</v>
      </c>
      <c r="T31" s="8">
        <f t="shared" si="3"/>
        <v>0</v>
      </c>
      <c r="U31" s="8">
        <f t="shared" si="3"/>
        <v>0</v>
      </c>
      <c r="V31" s="8">
        <f t="shared" si="3"/>
        <v>0</v>
      </c>
      <c r="W31" s="8">
        <f t="shared" si="3"/>
        <v>0</v>
      </c>
      <c r="X31" s="8">
        <f t="shared" si="3"/>
        <v>0</v>
      </c>
      <c r="Y31" s="8">
        <f t="shared" si="3"/>
        <v>0</v>
      </c>
      <c r="Z31" s="8">
        <f t="shared" si="3"/>
        <v>0</v>
      </c>
    </row>
    <row r="32" spans="1:26" hidden="1" x14ac:dyDescent="0.2">
      <c r="A32" s="32">
        <v>30</v>
      </c>
      <c r="B32" s="9" t="str">
        <f t="shared" si="2"/>
        <v>Equipo 30</v>
      </c>
      <c r="C32" s="4">
        <f t="shared" si="2"/>
        <v>0</v>
      </c>
      <c r="D32" s="4">
        <f t="shared" si="2"/>
        <v>0</v>
      </c>
      <c r="E32" s="4">
        <f t="shared" si="2"/>
        <v>0</v>
      </c>
      <c r="F32" s="4">
        <f t="shared" si="2"/>
        <v>0</v>
      </c>
      <c r="G32" s="4">
        <f t="shared" si="2"/>
        <v>0</v>
      </c>
      <c r="H32" s="4">
        <f t="shared" si="2"/>
        <v>0</v>
      </c>
      <c r="I32" s="4">
        <f t="shared" si="2"/>
        <v>0</v>
      </c>
      <c r="J32" s="4">
        <f t="shared" si="2"/>
        <v>0</v>
      </c>
      <c r="K32" s="5">
        <f t="shared" si="2"/>
        <v>0</v>
      </c>
      <c r="L32" s="5">
        <f t="shared" si="3"/>
        <v>0</v>
      </c>
      <c r="M32" s="5">
        <f t="shared" si="3"/>
        <v>0</v>
      </c>
      <c r="N32" s="5">
        <f t="shared" si="3"/>
        <v>0</v>
      </c>
      <c r="O32" s="5">
        <f t="shared" si="3"/>
        <v>0</v>
      </c>
      <c r="P32" s="5">
        <f t="shared" si="3"/>
        <v>0</v>
      </c>
      <c r="Q32" s="5">
        <f t="shared" si="3"/>
        <v>0</v>
      </c>
      <c r="R32" s="5">
        <f t="shared" si="3"/>
        <v>0</v>
      </c>
      <c r="S32" s="8">
        <f t="shared" si="3"/>
        <v>0</v>
      </c>
      <c r="T32" s="8">
        <f t="shared" si="3"/>
        <v>0</v>
      </c>
      <c r="U32" s="8">
        <f t="shared" si="3"/>
        <v>0</v>
      </c>
      <c r="V32" s="8">
        <f t="shared" si="3"/>
        <v>0</v>
      </c>
      <c r="W32" s="8">
        <f t="shared" si="3"/>
        <v>0</v>
      </c>
      <c r="X32" s="8">
        <f t="shared" si="3"/>
        <v>0</v>
      </c>
      <c r="Y32" s="8">
        <f t="shared" si="3"/>
        <v>0</v>
      </c>
      <c r="Z32" s="8">
        <f t="shared" si="3"/>
        <v>0</v>
      </c>
    </row>
    <row r="33" spans="1:26" hidden="1" x14ac:dyDescent="0.2">
      <c r="A33" s="32">
        <v>31</v>
      </c>
      <c r="B33" s="9" t="str">
        <f t="shared" si="2"/>
        <v>Equipo 31</v>
      </c>
      <c r="C33" s="4">
        <f t="shared" si="2"/>
        <v>0</v>
      </c>
      <c r="D33" s="4">
        <f t="shared" si="2"/>
        <v>0</v>
      </c>
      <c r="E33" s="4">
        <f t="shared" si="2"/>
        <v>0</v>
      </c>
      <c r="F33" s="4">
        <f t="shared" si="2"/>
        <v>0</v>
      </c>
      <c r="G33" s="4">
        <f t="shared" si="2"/>
        <v>0</v>
      </c>
      <c r="H33" s="4">
        <f t="shared" si="2"/>
        <v>0</v>
      </c>
      <c r="I33" s="4">
        <f t="shared" si="2"/>
        <v>0</v>
      </c>
      <c r="J33" s="4">
        <f t="shared" si="2"/>
        <v>0</v>
      </c>
      <c r="K33" s="5">
        <f t="shared" si="2"/>
        <v>0</v>
      </c>
      <c r="L33" s="5">
        <f t="shared" si="3"/>
        <v>0</v>
      </c>
      <c r="M33" s="5">
        <f t="shared" si="3"/>
        <v>0</v>
      </c>
      <c r="N33" s="5">
        <f t="shared" si="3"/>
        <v>0</v>
      </c>
      <c r="O33" s="5">
        <f t="shared" si="3"/>
        <v>0</v>
      </c>
      <c r="P33" s="5">
        <f t="shared" si="3"/>
        <v>0</v>
      </c>
      <c r="Q33" s="5">
        <f t="shared" si="3"/>
        <v>0</v>
      </c>
      <c r="R33" s="5">
        <f t="shared" si="3"/>
        <v>0</v>
      </c>
      <c r="S33" s="8">
        <f t="shared" si="3"/>
        <v>0</v>
      </c>
      <c r="T33" s="8">
        <f t="shared" si="3"/>
        <v>0</v>
      </c>
      <c r="U33" s="8">
        <f t="shared" si="3"/>
        <v>0</v>
      </c>
      <c r="V33" s="8">
        <f t="shared" si="3"/>
        <v>0</v>
      </c>
      <c r="W33" s="8">
        <f t="shared" si="3"/>
        <v>0</v>
      </c>
      <c r="X33" s="8">
        <f t="shared" si="3"/>
        <v>0</v>
      </c>
      <c r="Y33" s="8">
        <f t="shared" si="3"/>
        <v>0</v>
      </c>
      <c r="Z33" s="8">
        <f t="shared" si="3"/>
        <v>0</v>
      </c>
    </row>
    <row r="34" spans="1:26" hidden="1" x14ac:dyDescent="0.2">
      <c r="A34" s="32">
        <v>32</v>
      </c>
      <c r="B34" s="9" t="str">
        <f t="shared" si="2"/>
        <v>Equipo 32</v>
      </c>
      <c r="C34" s="4">
        <f t="shared" si="2"/>
        <v>0</v>
      </c>
      <c r="D34" s="4">
        <f t="shared" si="2"/>
        <v>0</v>
      </c>
      <c r="E34" s="4">
        <f t="shared" si="2"/>
        <v>0</v>
      </c>
      <c r="F34" s="4">
        <f t="shared" si="2"/>
        <v>0</v>
      </c>
      <c r="G34" s="4">
        <f t="shared" si="2"/>
        <v>0</v>
      </c>
      <c r="H34" s="4">
        <f t="shared" si="2"/>
        <v>0</v>
      </c>
      <c r="I34" s="4">
        <f t="shared" si="2"/>
        <v>0</v>
      </c>
      <c r="J34" s="4">
        <f t="shared" si="2"/>
        <v>0</v>
      </c>
      <c r="K34" s="5">
        <f t="shared" si="2"/>
        <v>0</v>
      </c>
      <c r="L34" s="5">
        <f t="shared" si="3"/>
        <v>0</v>
      </c>
      <c r="M34" s="5">
        <f t="shared" si="3"/>
        <v>0</v>
      </c>
      <c r="N34" s="5">
        <f t="shared" si="3"/>
        <v>0</v>
      </c>
      <c r="O34" s="5">
        <f t="shared" si="3"/>
        <v>0</v>
      </c>
      <c r="P34" s="5">
        <f t="shared" si="3"/>
        <v>0</v>
      </c>
      <c r="Q34" s="5">
        <f t="shared" si="3"/>
        <v>0</v>
      </c>
      <c r="R34" s="5">
        <f t="shared" si="3"/>
        <v>0</v>
      </c>
      <c r="S34" s="8">
        <f t="shared" si="3"/>
        <v>0</v>
      </c>
      <c r="T34" s="8">
        <f t="shared" si="3"/>
        <v>0</v>
      </c>
      <c r="U34" s="8">
        <f t="shared" si="3"/>
        <v>0</v>
      </c>
      <c r="V34" s="8">
        <f t="shared" si="3"/>
        <v>0</v>
      </c>
      <c r="W34" s="8">
        <f t="shared" si="3"/>
        <v>0</v>
      </c>
      <c r="X34" s="8">
        <f t="shared" si="3"/>
        <v>0</v>
      </c>
      <c r="Y34" s="8">
        <f t="shared" si="3"/>
        <v>0</v>
      </c>
      <c r="Z34" s="8">
        <f t="shared" si="3"/>
        <v>0</v>
      </c>
    </row>
    <row r="35" spans="1:26" hidden="1" x14ac:dyDescent="0.2">
      <c r="A35" s="32">
        <v>33</v>
      </c>
      <c r="B35" s="9" t="str">
        <f t="shared" si="2"/>
        <v>Equipo 33</v>
      </c>
      <c r="C35" s="4">
        <f t="shared" si="2"/>
        <v>0</v>
      </c>
      <c r="D35" s="4">
        <f t="shared" si="2"/>
        <v>0</v>
      </c>
      <c r="E35" s="4">
        <f t="shared" si="2"/>
        <v>0</v>
      </c>
      <c r="F35" s="4">
        <f t="shared" si="2"/>
        <v>0</v>
      </c>
      <c r="G35" s="4">
        <f t="shared" si="2"/>
        <v>0</v>
      </c>
      <c r="H35" s="4">
        <f t="shared" si="2"/>
        <v>0</v>
      </c>
      <c r="I35" s="4">
        <f t="shared" si="2"/>
        <v>0</v>
      </c>
      <c r="J35" s="4">
        <f t="shared" si="2"/>
        <v>0</v>
      </c>
      <c r="K35" s="5">
        <f t="shared" si="2"/>
        <v>0</v>
      </c>
      <c r="L35" s="5">
        <f t="shared" si="3"/>
        <v>0</v>
      </c>
      <c r="M35" s="5">
        <f t="shared" si="3"/>
        <v>0</v>
      </c>
      <c r="N35" s="5">
        <f t="shared" si="3"/>
        <v>0</v>
      </c>
      <c r="O35" s="5">
        <f t="shared" si="3"/>
        <v>0</v>
      </c>
      <c r="P35" s="5">
        <f t="shared" si="3"/>
        <v>0</v>
      </c>
      <c r="Q35" s="5">
        <f t="shared" si="3"/>
        <v>0</v>
      </c>
      <c r="R35" s="5">
        <f t="shared" si="3"/>
        <v>0</v>
      </c>
      <c r="S35" s="8">
        <f t="shared" si="3"/>
        <v>0</v>
      </c>
      <c r="T35" s="8">
        <f t="shared" si="3"/>
        <v>0</v>
      </c>
      <c r="U35" s="8">
        <f t="shared" si="3"/>
        <v>0</v>
      </c>
      <c r="V35" s="8">
        <f t="shared" si="3"/>
        <v>0</v>
      </c>
      <c r="W35" s="8">
        <f t="shared" si="3"/>
        <v>0</v>
      </c>
      <c r="X35" s="8">
        <f t="shared" si="3"/>
        <v>0</v>
      </c>
      <c r="Y35" s="8">
        <f t="shared" si="3"/>
        <v>0</v>
      </c>
      <c r="Z35" s="8">
        <f t="shared" si="3"/>
        <v>0</v>
      </c>
    </row>
    <row r="36" spans="1:26" hidden="1" x14ac:dyDescent="0.2">
      <c r="A36" s="32">
        <v>34</v>
      </c>
      <c r="B36" s="9" t="str">
        <f t="shared" ref="B36:Q42" si="4">VLOOKUP($A36,Posiciones_Auxiliar,COLUMN(),0)</f>
        <v>Equipo 34</v>
      </c>
      <c r="C36" s="4">
        <f t="shared" si="4"/>
        <v>0</v>
      </c>
      <c r="D36" s="4">
        <f t="shared" si="4"/>
        <v>0</v>
      </c>
      <c r="E36" s="4">
        <f t="shared" si="4"/>
        <v>0</v>
      </c>
      <c r="F36" s="4">
        <f t="shared" si="4"/>
        <v>0</v>
      </c>
      <c r="G36" s="4">
        <f t="shared" si="4"/>
        <v>0</v>
      </c>
      <c r="H36" s="4">
        <f t="shared" si="4"/>
        <v>0</v>
      </c>
      <c r="I36" s="4">
        <f t="shared" si="4"/>
        <v>0</v>
      </c>
      <c r="J36" s="4">
        <f t="shared" si="4"/>
        <v>0</v>
      </c>
      <c r="K36" s="5">
        <f t="shared" si="4"/>
        <v>0</v>
      </c>
      <c r="L36" s="5">
        <f t="shared" si="4"/>
        <v>0</v>
      </c>
      <c r="M36" s="5">
        <f t="shared" si="4"/>
        <v>0</v>
      </c>
      <c r="N36" s="5">
        <f t="shared" si="4"/>
        <v>0</v>
      </c>
      <c r="O36" s="5">
        <f t="shared" si="4"/>
        <v>0</v>
      </c>
      <c r="P36" s="5">
        <f t="shared" si="4"/>
        <v>0</v>
      </c>
      <c r="Q36" s="5">
        <f t="shared" si="4"/>
        <v>0</v>
      </c>
      <c r="R36" s="5">
        <f t="shared" ref="L36:Z42" si="5">VLOOKUP($A36,Posiciones_Auxiliar,COLUMN(),0)</f>
        <v>0</v>
      </c>
      <c r="S36" s="8">
        <f t="shared" si="5"/>
        <v>0</v>
      </c>
      <c r="T36" s="8">
        <f t="shared" si="5"/>
        <v>0</v>
      </c>
      <c r="U36" s="8">
        <f t="shared" si="5"/>
        <v>0</v>
      </c>
      <c r="V36" s="8">
        <f t="shared" si="5"/>
        <v>0</v>
      </c>
      <c r="W36" s="8">
        <f t="shared" si="5"/>
        <v>0</v>
      </c>
      <c r="X36" s="8">
        <f t="shared" si="5"/>
        <v>0</v>
      </c>
      <c r="Y36" s="8">
        <f t="shared" si="5"/>
        <v>0</v>
      </c>
      <c r="Z36" s="8">
        <f t="shared" si="5"/>
        <v>0</v>
      </c>
    </row>
    <row r="37" spans="1:26" hidden="1" x14ac:dyDescent="0.2">
      <c r="A37" s="32">
        <v>35</v>
      </c>
      <c r="B37" s="9" t="str">
        <f t="shared" si="4"/>
        <v>Equipo 35</v>
      </c>
      <c r="C37" s="4">
        <f t="shared" si="4"/>
        <v>0</v>
      </c>
      <c r="D37" s="4">
        <f t="shared" si="4"/>
        <v>0</v>
      </c>
      <c r="E37" s="4">
        <f t="shared" si="4"/>
        <v>0</v>
      </c>
      <c r="F37" s="4">
        <f t="shared" si="4"/>
        <v>0</v>
      </c>
      <c r="G37" s="4">
        <f t="shared" si="4"/>
        <v>0</v>
      </c>
      <c r="H37" s="4">
        <f t="shared" si="4"/>
        <v>0</v>
      </c>
      <c r="I37" s="4">
        <f t="shared" si="4"/>
        <v>0</v>
      </c>
      <c r="J37" s="4">
        <f t="shared" si="4"/>
        <v>0</v>
      </c>
      <c r="K37" s="5">
        <f t="shared" si="4"/>
        <v>0</v>
      </c>
      <c r="L37" s="5">
        <f t="shared" si="5"/>
        <v>0</v>
      </c>
      <c r="M37" s="5">
        <f t="shared" si="5"/>
        <v>0</v>
      </c>
      <c r="N37" s="5">
        <f t="shared" si="5"/>
        <v>0</v>
      </c>
      <c r="O37" s="5">
        <f t="shared" si="5"/>
        <v>0</v>
      </c>
      <c r="P37" s="5">
        <f t="shared" si="5"/>
        <v>0</v>
      </c>
      <c r="Q37" s="5">
        <f t="shared" si="5"/>
        <v>0</v>
      </c>
      <c r="R37" s="5">
        <f t="shared" si="5"/>
        <v>0</v>
      </c>
      <c r="S37" s="8">
        <f t="shared" si="5"/>
        <v>0</v>
      </c>
      <c r="T37" s="8">
        <f t="shared" si="5"/>
        <v>0</v>
      </c>
      <c r="U37" s="8">
        <f t="shared" si="5"/>
        <v>0</v>
      </c>
      <c r="V37" s="8">
        <f t="shared" si="5"/>
        <v>0</v>
      </c>
      <c r="W37" s="8">
        <f t="shared" si="5"/>
        <v>0</v>
      </c>
      <c r="X37" s="8">
        <f t="shared" si="5"/>
        <v>0</v>
      </c>
      <c r="Y37" s="8">
        <f t="shared" si="5"/>
        <v>0</v>
      </c>
      <c r="Z37" s="8">
        <f t="shared" si="5"/>
        <v>0</v>
      </c>
    </row>
    <row r="38" spans="1:26" hidden="1" x14ac:dyDescent="0.2">
      <c r="A38" s="32">
        <v>36</v>
      </c>
      <c r="B38" s="9" t="str">
        <f t="shared" si="4"/>
        <v>Equipo 36</v>
      </c>
      <c r="C38" s="4">
        <f t="shared" si="4"/>
        <v>0</v>
      </c>
      <c r="D38" s="4">
        <f t="shared" si="4"/>
        <v>0</v>
      </c>
      <c r="E38" s="4">
        <f t="shared" si="4"/>
        <v>0</v>
      </c>
      <c r="F38" s="4">
        <f t="shared" si="4"/>
        <v>0</v>
      </c>
      <c r="G38" s="4">
        <f t="shared" si="4"/>
        <v>0</v>
      </c>
      <c r="H38" s="4">
        <f t="shared" si="4"/>
        <v>0</v>
      </c>
      <c r="I38" s="4">
        <f t="shared" si="4"/>
        <v>0</v>
      </c>
      <c r="J38" s="4">
        <f t="shared" si="4"/>
        <v>0</v>
      </c>
      <c r="K38" s="5">
        <f t="shared" si="4"/>
        <v>0</v>
      </c>
      <c r="L38" s="5">
        <f t="shared" si="5"/>
        <v>0</v>
      </c>
      <c r="M38" s="5">
        <f t="shared" si="5"/>
        <v>0</v>
      </c>
      <c r="N38" s="5">
        <f t="shared" si="5"/>
        <v>0</v>
      </c>
      <c r="O38" s="5">
        <f t="shared" si="5"/>
        <v>0</v>
      </c>
      <c r="P38" s="5">
        <f t="shared" si="5"/>
        <v>0</v>
      </c>
      <c r="Q38" s="5">
        <f t="shared" si="5"/>
        <v>0</v>
      </c>
      <c r="R38" s="5">
        <f t="shared" si="5"/>
        <v>0</v>
      </c>
      <c r="S38" s="8">
        <f t="shared" si="5"/>
        <v>0</v>
      </c>
      <c r="T38" s="8">
        <f t="shared" si="5"/>
        <v>0</v>
      </c>
      <c r="U38" s="8">
        <f t="shared" si="5"/>
        <v>0</v>
      </c>
      <c r="V38" s="8">
        <f t="shared" si="5"/>
        <v>0</v>
      </c>
      <c r="W38" s="8">
        <f t="shared" si="5"/>
        <v>0</v>
      </c>
      <c r="X38" s="8">
        <f t="shared" si="5"/>
        <v>0</v>
      </c>
      <c r="Y38" s="8">
        <f t="shared" si="5"/>
        <v>0</v>
      </c>
      <c r="Z38" s="8">
        <f t="shared" si="5"/>
        <v>0</v>
      </c>
    </row>
    <row r="39" spans="1:26" hidden="1" x14ac:dyDescent="0.2">
      <c r="A39" s="32">
        <v>37</v>
      </c>
      <c r="B39" s="9" t="str">
        <f t="shared" si="4"/>
        <v>Equipo 37</v>
      </c>
      <c r="C39" s="4">
        <f t="shared" si="4"/>
        <v>0</v>
      </c>
      <c r="D39" s="4">
        <f t="shared" si="4"/>
        <v>0</v>
      </c>
      <c r="E39" s="4">
        <f t="shared" si="4"/>
        <v>0</v>
      </c>
      <c r="F39" s="4">
        <f t="shared" si="4"/>
        <v>0</v>
      </c>
      <c r="G39" s="4">
        <f t="shared" si="4"/>
        <v>0</v>
      </c>
      <c r="H39" s="4">
        <f t="shared" si="4"/>
        <v>0</v>
      </c>
      <c r="I39" s="4">
        <f t="shared" si="4"/>
        <v>0</v>
      </c>
      <c r="J39" s="4">
        <f t="shared" si="4"/>
        <v>0</v>
      </c>
      <c r="K39" s="5">
        <f t="shared" si="4"/>
        <v>0</v>
      </c>
      <c r="L39" s="5">
        <f t="shared" si="5"/>
        <v>0</v>
      </c>
      <c r="M39" s="5">
        <f t="shared" si="5"/>
        <v>0</v>
      </c>
      <c r="N39" s="5">
        <f t="shared" si="5"/>
        <v>0</v>
      </c>
      <c r="O39" s="5">
        <f t="shared" si="5"/>
        <v>0</v>
      </c>
      <c r="P39" s="5">
        <f t="shared" si="5"/>
        <v>0</v>
      </c>
      <c r="Q39" s="5">
        <f t="shared" si="5"/>
        <v>0</v>
      </c>
      <c r="R39" s="5">
        <f t="shared" si="5"/>
        <v>0</v>
      </c>
      <c r="S39" s="8">
        <f t="shared" si="5"/>
        <v>0</v>
      </c>
      <c r="T39" s="8">
        <f t="shared" si="5"/>
        <v>0</v>
      </c>
      <c r="U39" s="8">
        <f t="shared" si="5"/>
        <v>0</v>
      </c>
      <c r="V39" s="8">
        <f t="shared" si="5"/>
        <v>0</v>
      </c>
      <c r="W39" s="8">
        <f t="shared" si="5"/>
        <v>0</v>
      </c>
      <c r="X39" s="8">
        <f t="shared" si="5"/>
        <v>0</v>
      </c>
      <c r="Y39" s="8">
        <f t="shared" si="5"/>
        <v>0</v>
      </c>
      <c r="Z39" s="8">
        <f t="shared" si="5"/>
        <v>0</v>
      </c>
    </row>
    <row r="40" spans="1:26" hidden="1" x14ac:dyDescent="0.2">
      <c r="A40" s="32">
        <v>38</v>
      </c>
      <c r="B40" s="9" t="str">
        <f t="shared" si="4"/>
        <v>Equipo 38</v>
      </c>
      <c r="C40" s="4">
        <f t="shared" si="4"/>
        <v>0</v>
      </c>
      <c r="D40" s="4">
        <f t="shared" si="4"/>
        <v>0</v>
      </c>
      <c r="E40" s="4">
        <f t="shared" si="4"/>
        <v>0</v>
      </c>
      <c r="F40" s="4">
        <f t="shared" si="4"/>
        <v>0</v>
      </c>
      <c r="G40" s="4">
        <f t="shared" si="4"/>
        <v>0</v>
      </c>
      <c r="H40" s="4">
        <f t="shared" si="4"/>
        <v>0</v>
      </c>
      <c r="I40" s="4">
        <f t="shared" si="4"/>
        <v>0</v>
      </c>
      <c r="J40" s="4">
        <f t="shared" si="4"/>
        <v>0</v>
      </c>
      <c r="K40" s="5">
        <f t="shared" si="4"/>
        <v>0</v>
      </c>
      <c r="L40" s="5">
        <f t="shared" si="5"/>
        <v>0</v>
      </c>
      <c r="M40" s="5">
        <f t="shared" si="5"/>
        <v>0</v>
      </c>
      <c r="N40" s="5">
        <f t="shared" si="5"/>
        <v>0</v>
      </c>
      <c r="O40" s="5">
        <f t="shared" si="5"/>
        <v>0</v>
      </c>
      <c r="P40" s="5">
        <f t="shared" si="5"/>
        <v>0</v>
      </c>
      <c r="Q40" s="5">
        <f t="shared" si="5"/>
        <v>0</v>
      </c>
      <c r="R40" s="5">
        <f t="shared" si="5"/>
        <v>0</v>
      </c>
      <c r="S40" s="8">
        <f t="shared" si="5"/>
        <v>0</v>
      </c>
      <c r="T40" s="8">
        <f t="shared" si="5"/>
        <v>0</v>
      </c>
      <c r="U40" s="8">
        <f t="shared" si="5"/>
        <v>0</v>
      </c>
      <c r="V40" s="8">
        <f t="shared" si="5"/>
        <v>0</v>
      </c>
      <c r="W40" s="8">
        <f t="shared" si="5"/>
        <v>0</v>
      </c>
      <c r="X40" s="8">
        <f t="shared" si="5"/>
        <v>0</v>
      </c>
      <c r="Y40" s="8">
        <f t="shared" si="5"/>
        <v>0</v>
      </c>
      <c r="Z40" s="8">
        <f t="shared" si="5"/>
        <v>0</v>
      </c>
    </row>
    <row r="41" spans="1:26" hidden="1" x14ac:dyDescent="0.2">
      <c r="A41" s="32">
        <v>39</v>
      </c>
      <c r="B41" s="9" t="str">
        <f t="shared" si="4"/>
        <v>Equipo 39</v>
      </c>
      <c r="C41" s="4">
        <f t="shared" si="4"/>
        <v>0</v>
      </c>
      <c r="D41" s="4">
        <f t="shared" si="4"/>
        <v>0</v>
      </c>
      <c r="E41" s="4">
        <f t="shared" si="4"/>
        <v>0</v>
      </c>
      <c r="F41" s="4">
        <f t="shared" si="4"/>
        <v>0</v>
      </c>
      <c r="G41" s="4">
        <f t="shared" si="4"/>
        <v>0</v>
      </c>
      <c r="H41" s="4">
        <f t="shared" si="4"/>
        <v>0</v>
      </c>
      <c r="I41" s="4">
        <f t="shared" si="4"/>
        <v>0</v>
      </c>
      <c r="J41" s="4">
        <f t="shared" si="4"/>
        <v>0</v>
      </c>
      <c r="K41" s="5">
        <f t="shared" si="4"/>
        <v>0</v>
      </c>
      <c r="L41" s="5">
        <f t="shared" si="5"/>
        <v>0</v>
      </c>
      <c r="M41" s="5">
        <f t="shared" si="5"/>
        <v>0</v>
      </c>
      <c r="N41" s="5">
        <f t="shared" si="5"/>
        <v>0</v>
      </c>
      <c r="O41" s="5">
        <f t="shared" si="5"/>
        <v>0</v>
      </c>
      <c r="P41" s="5">
        <f t="shared" si="5"/>
        <v>0</v>
      </c>
      <c r="Q41" s="5">
        <f t="shared" si="5"/>
        <v>0</v>
      </c>
      <c r="R41" s="5">
        <f t="shared" si="5"/>
        <v>0</v>
      </c>
      <c r="S41" s="8">
        <f t="shared" si="5"/>
        <v>0</v>
      </c>
      <c r="T41" s="8">
        <f t="shared" si="5"/>
        <v>0</v>
      </c>
      <c r="U41" s="8">
        <f t="shared" si="5"/>
        <v>0</v>
      </c>
      <c r="V41" s="8">
        <f t="shared" si="5"/>
        <v>0</v>
      </c>
      <c r="W41" s="8">
        <f t="shared" si="5"/>
        <v>0</v>
      </c>
      <c r="X41" s="8">
        <f t="shared" si="5"/>
        <v>0</v>
      </c>
      <c r="Y41" s="8">
        <f t="shared" si="5"/>
        <v>0</v>
      </c>
      <c r="Z41" s="8">
        <f t="shared" si="5"/>
        <v>0</v>
      </c>
    </row>
    <row r="42" spans="1:26" hidden="1" x14ac:dyDescent="0.2">
      <c r="A42" s="32">
        <v>40</v>
      </c>
      <c r="B42" s="9" t="str">
        <f t="shared" si="4"/>
        <v>Equipo 40</v>
      </c>
      <c r="C42" s="4">
        <f t="shared" si="4"/>
        <v>0</v>
      </c>
      <c r="D42" s="4">
        <f t="shared" si="4"/>
        <v>0</v>
      </c>
      <c r="E42" s="4">
        <f t="shared" si="4"/>
        <v>0</v>
      </c>
      <c r="F42" s="4">
        <f t="shared" si="4"/>
        <v>0</v>
      </c>
      <c r="G42" s="4">
        <f t="shared" si="4"/>
        <v>0</v>
      </c>
      <c r="H42" s="4">
        <f t="shared" si="4"/>
        <v>0</v>
      </c>
      <c r="I42" s="4">
        <f t="shared" si="4"/>
        <v>0</v>
      </c>
      <c r="J42" s="4">
        <f t="shared" si="4"/>
        <v>0</v>
      </c>
      <c r="K42" s="5">
        <f t="shared" si="4"/>
        <v>0</v>
      </c>
      <c r="L42" s="5">
        <f t="shared" si="5"/>
        <v>0</v>
      </c>
      <c r="M42" s="5">
        <f t="shared" si="5"/>
        <v>0</v>
      </c>
      <c r="N42" s="5">
        <f t="shared" si="5"/>
        <v>0</v>
      </c>
      <c r="O42" s="5">
        <f t="shared" si="5"/>
        <v>0</v>
      </c>
      <c r="P42" s="5">
        <f t="shared" si="5"/>
        <v>0</v>
      </c>
      <c r="Q42" s="5">
        <f t="shared" si="5"/>
        <v>0</v>
      </c>
      <c r="R42" s="5">
        <f t="shared" si="5"/>
        <v>0</v>
      </c>
      <c r="S42" s="8">
        <f t="shared" si="5"/>
        <v>0</v>
      </c>
      <c r="T42" s="8">
        <f t="shared" si="5"/>
        <v>0</v>
      </c>
      <c r="U42" s="8">
        <f t="shared" si="5"/>
        <v>0</v>
      </c>
      <c r="V42" s="8">
        <f t="shared" si="5"/>
        <v>0</v>
      </c>
      <c r="W42" s="8">
        <f t="shared" si="5"/>
        <v>0</v>
      </c>
      <c r="X42" s="8">
        <f t="shared" si="5"/>
        <v>0</v>
      </c>
      <c r="Y42" s="8">
        <f t="shared" si="5"/>
        <v>0</v>
      </c>
      <c r="Z42" s="8">
        <f t="shared" si="5"/>
        <v>0</v>
      </c>
    </row>
    <row r="43" spans="1:26" hidden="1" x14ac:dyDescent="0.2"/>
  </sheetData>
  <mergeCells count="3">
    <mergeCell ref="C1:J1"/>
    <mergeCell ref="K1:R1"/>
    <mergeCell ref="S1:Z1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B1:X66"/>
  <sheetViews>
    <sheetView showGridLines="0" zoomScaleNormal="100" workbookViewId="0">
      <selection activeCell="W29" sqref="W29"/>
    </sheetView>
  </sheetViews>
  <sheetFormatPr defaultColWidth="11.42578125" defaultRowHeight="12.75" x14ac:dyDescent="0.2"/>
  <cols>
    <col min="1" max="1" width="1.7109375" customWidth="1"/>
    <col min="2" max="2" width="5.140625" bestFit="1" customWidth="1"/>
    <col min="3" max="3" width="30.5703125" customWidth="1"/>
    <col min="4" max="4" width="5.140625" bestFit="1" customWidth="1"/>
    <col min="5" max="5" width="12.28515625" bestFit="1" customWidth="1"/>
    <col min="6" max="6" width="2.140625" bestFit="1" customWidth="1"/>
    <col min="7" max="7" width="2.28515625" bestFit="1" customWidth="1"/>
    <col min="8" max="8" width="3.5703125" bestFit="1" customWidth="1"/>
    <col min="9" max="9" width="3.7109375" bestFit="1" customWidth="1"/>
    <col min="10" max="10" width="3.42578125" bestFit="1" customWidth="1"/>
    <col min="11" max="11" width="5.5703125" bestFit="1" customWidth="1"/>
    <col min="12" max="12" width="5.140625" bestFit="1" customWidth="1"/>
    <col min="13" max="13" width="1.28515625" customWidth="1"/>
    <col min="14" max="14" width="4.28515625" bestFit="1" customWidth="1"/>
    <col min="15" max="15" width="30.5703125" customWidth="1"/>
    <col min="16" max="16" width="3" customWidth="1"/>
    <col min="17" max="17" width="2.28515625" customWidth="1"/>
    <col min="18" max="18" width="2.140625" bestFit="1" customWidth="1"/>
    <col min="19" max="19" width="2.28515625" bestFit="1" customWidth="1"/>
    <col min="20" max="20" width="3.5703125" bestFit="1" customWidth="1"/>
    <col min="21" max="21" width="3.7109375" bestFit="1" customWidth="1"/>
    <col min="22" max="22" width="3.42578125" customWidth="1"/>
    <col min="23" max="23" width="6" customWidth="1"/>
    <col min="24" max="24" width="5.42578125" customWidth="1"/>
    <col min="25" max="26" width="1.28515625" customWidth="1"/>
    <col min="27" max="28" width="4.85546875" bestFit="1" customWidth="1"/>
    <col min="29" max="29" width="4.7109375" bestFit="1" customWidth="1"/>
    <col min="30" max="30" width="2" customWidth="1"/>
    <col min="31" max="31" width="1.85546875" customWidth="1"/>
  </cols>
  <sheetData>
    <row r="1" spans="2:24" ht="6" customHeight="1" x14ac:dyDescent="0.2"/>
    <row r="2" spans="2:24" ht="6" customHeight="1" x14ac:dyDescent="0.2"/>
    <row r="3" spans="2:24" ht="15" customHeight="1" x14ac:dyDescent="0.2">
      <c r="B3" s="105" t="s">
        <v>55</v>
      </c>
      <c r="C3" s="106"/>
      <c r="D3" s="106"/>
      <c r="E3" s="106"/>
      <c r="F3" s="106"/>
      <c r="G3" s="106"/>
      <c r="H3" s="106"/>
      <c r="I3" s="106"/>
      <c r="J3" s="106"/>
      <c r="K3" s="106"/>
      <c r="L3" s="107"/>
      <c r="N3" s="105" t="s">
        <v>56</v>
      </c>
      <c r="O3" s="106"/>
      <c r="P3" s="106"/>
      <c r="Q3" s="106"/>
      <c r="R3" s="106"/>
      <c r="S3" s="106"/>
      <c r="T3" s="106"/>
      <c r="U3" s="106"/>
      <c r="V3" s="106"/>
      <c r="W3" s="106"/>
      <c r="X3" s="107"/>
    </row>
    <row r="4" spans="2:24" ht="15" customHeight="1" x14ac:dyDescent="0.2">
      <c r="B4" s="108"/>
      <c r="C4" s="109"/>
      <c r="D4" s="109"/>
      <c r="E4" s="109"/>
      <c r="F4" s="109"/>
      <c r="G4" s="109"/>
      <c r="H4" s="109"/>
      <c r="I4" s="109"/>
      <c r="J4" s="109"/>
      <c r="K4" s="109"/>
      <c r="L4" s="110"/>
      <c r="N4" s="108"/>
      <c r="O4" s="109"/>
      <c r="P4" s="109"/>
      <c r="Q4" s="109"/>
      <c r="R4" s="109"/>
      <c r="S4" s="109"/>
      <c r="T4" s="109"/>
      <c r="U4" s="109"/>
      <c r="V4" s="109"/>
      <c r="W4" s="109"/>
      <c r="X4" s="110"/>
    </row>
    <row r="5" spans="2:24" x14ac:dyDescent="0.2">
      <c r="B5" s="108"/>
      <c r="C5" s="109"/>
      <c r="D5" s="109"/>
      <c r="E5" s="109"/>
      <c r="F5" s="109"/>
      <c r="G5" s="109"/>
      <c r="H5" s="109"/>
      <c r="I5" s="109"/>
      <c r="J5" s="109"/>
      <c r="K5" s="109"/>
      <c r="L5" s="110"/>
      <c r="N5" s="108"/>
      <c r="O5" s="109"/>
      <c r="P5" s="109"/>
      <c r="Q5" s="109"/>
      <c r="R5" s="109"/>
      <c r="S5" s="109"/>
      <c r="T5" s="109"/>
      <c r="U5" s="109"/>
      <c r="V5" s="109"/>
      <c r="W5" s="109"/>
      <c r="X5" s="110"/>
    </row>
    <row r="6" spans="2:24" x14ac:dyDescent="0.2">
      <c r="B6" s="111"/>
      <c r="C6" s="112"/>
      <c r="D6" s="112"/>
      <c r="E6" s="112"/>
      <c r="F6" s="112"/>
      <c r="G6" s="112"/>
      <c r="H6" s="112"/>
      <c r="I6" s="112"/>
      <c r="J6" s="112"/>
      <c r="K6" s="112"/>
      <c r="L6" s="113"/>
      <c r="N6" s="111"/>
      <c r="O6" s="112"/>
      <c r="P6" s="112"/>
      <c r="Q6" s="112"/>
      <c r="R6" s="112"/>
      <c r="S6" s="112"/>
      <c r="T6" s="112"/>
      <c r="U6" s="112"/>
      <c r="V6" s="112"/>
      <c r="W6" s="112"/>
      <c r="X6" s="113"/>
    </row>
    <row r="7" spans="2:24" x14ac:dyDescent="0.2">
      <c r="B7" s="114">
        <f ca="1">TODAY()</f>
        <v>46237</v>
      </c>
      <c r="C7" s="115"/>
      <c r="D7" s="116" t="s">
        <v>15</v>
      </c>
      <c r="E7" s="117"/>
      <c r="F7" s="117"/>
      <c r="G7" s="117"/>
      <c r="H7" s="117"/>
      <c r="I7" s="117"/>
      <c r="J7" s="117"/>
      <c r="K7" s="117"/>
      <c r="L7" s="118"/>
      <c r="N7" s="114">
        <f ca="1">TODAY()</f>
        <v>46237</v>
      </c>
      <c r="O7" s="115"/>
      <c r="P7" s="116" t="s">
        <v>15</v>
      </c>
      <c r="Q7" s="117"/>
      <c r="R7" s="117"/>
      <c r="S7" s="117"/>
      <c r="T7" s="117"/>
      <c r="U7" s="117"/>
      <c r="V7" s="117"/>
      <c r="W7" s="117"/>
      <c r="X7" s="118"/>
    </row>
    <row r="8" spans="2:24" x14ac:dyDescent="0.2">
      <c r="B8" s="40" t="s">
        <v>21</v>
      </c>
      <c r="C8" s="43" t="s">
        <v>12</v>
      </c>
      <c r="D8" s="44" t="s">
        <v>4</v>
      </c>
      <c r="E8" s="44" t="s">
        <v>5</v>
      </c>
      <c r="F8" s="44" t="s">
        <v>6</v>
      </c>
      <c r="G8" s="44" t="s">
        <v>7</v>
      </c>
      <c r="H8" s="44" t="s">
        <v>8</v>
      </c>
      <c r="I8" s="44" t="s">
        <v>9</v>
      </c>
      <c r="J8" s="44" t="s">
        <v>10</v>
      </c>
      <c r="K8" s="44" t="s">
        <v>11</v>
      </c>
      <c r="L8" s="44" t="s">
        <v>48</v>
      </c>
      <c r="N8" s="40" t="s">
        <v>21</v>
      </c>
      <c r="O8" s="43" t="s">
        <v>12</v>
      </c>
      <c r="P8" s="44" t="s">
        <v>4</v>
      </c>
      <c r="Q8" s="44" t="s">
        <v>5</v>
      </c>
      <c r="R8" s="44" t="s">
        <v>6</v>
      </c>
      <c r="S8" s="44" t="s">
        <v>7</v>
      </c>
      <c r="T8" s="44" t="s">
        <v>8</v>
      </c>
      <c r="U8" s="44" t="s">
        <v>9</v>
      </c>
      <c r="V8" s="44" t="s">
        <v>10</v>
      </c>
      <c r="W8" s="44" t="s">
        <v>11</v>
      </c>
      <c r="X8" s="44" t="s">
        <v>48</v>
      </c>
    </row>
    <row r="9" spans="2:24" x14ac:dyDescent="0.2">
      <c r="B9" s="42">
        <v>1</v>
      </c>
      <c r="C9" s="41" t="str">
        <f>VLOOKUP(B9,$B$50:$C$54,2,FALSE)</f>
        <v>Inter de cartagena</v>
      </c>
      <c r="D9" s="45">
        <f>VLOOKUP(C9,'Para Cuadrar'!$C$10:$M$18,2,FALSE)</f>
        <v>0</v>
      </c>
      <c r="E9" s="45">
        <f>VLOOKUP(C9,'Para Cuadrar'!$C$10:$M$18,3,FALSE)</f>
        <v>0</v>
      </c>
      <c r="F9" s="45">
        <f>VLOOKUP(C9,'Para Cuadrar'!$C$10:$M$18,4,FALSE)</f>
        <v>0</v>
      </c>
      <c r="G9" s="45">
        <f>VLOOKUP(C9,'Para Cuadrar'!$C$10:$M$18,5,FALSE)</f>
        <v>0</v>
      </c>
      <c r="H9" s="45">
        <f>VLOOKUP(C9,'Para Cuadrar'!$C$10:$M$18,6,FALSE)</f>
        <v>0</v>
      </c>
      <c r="I9" s="45">
        <f>VLOOKUP(C9,'Para Cuadrar'!$C$10:$M$18,7,FALSE)</f>
        <v>0</v>
      </c>
      <c r="J9" s="45">
        <f>VLOOKUP(C9,'Para Cuadrar'!$C$10:$M$18,8,FALSE)</f>
        <v>0</v>
      </c>
      <c r="K9" s="95">
        <f>VLOOKUP(C9,'Para Cuadrar'!$C$10:$M$18,10,FALSE)</f>
        <v>1</v>
      </c>
      <c r="L9" s="45">
        <f>VLOOKUP(C9,'Para Cuadrar'!$C$10:$M$18,11,FALSE)</f>
        <v>340</v>
      </c>
      <c r="N9" s="42">
        <v>1</v>
      </c>
      <c r="O9" s="41" t="str">
        <f>VLOOKUP(N9,$N$49:$O$52,2,FALSE)</f>
        <v>Mate Bolivar FC</v>
      </c>
      <c r="P9" s="45">
        <f>VLOOKUP(O9,'Para Cuadrar'!$C$10:$M$18,2,FALSE)</f>
        <v>0</v>
      </c>
      <c r="Q9" s="45">
        <f>VLOOKUP(O9,'Para Cuadrar'!$C$10:$M$18,3,FALSE)</f>
        <v>0</v>
      </c>
      <c r="R9" s="45">
        <f>VLOOKUP(O9,'Para Cuadrar'!$C$10:$M$18,4,FALSE)</f>
        <v>0</v>
      </c>
      <c r="S9" s="45">
        <f>VLOOKUP(O9,'Para Cuadrar'!$C$10:$M$18,5,FALSE)</f>
        <v>0</v>
      </c>
      <c r="T9" s="45">
        <f>VLOOKUP(O9,'Para Cuadrar'!$C$10:$M$18,6,FALSE)</f>
        <v>0</v>
      </c>
      <c r="U9" s="45">
        <f>VLOOKUP(O9,'Para Cuadrar'!$C$10:$M$18,7,FALSE)</f>
        <v>0</v>
      </c>
      <c r="V9" s="45">
        <f>VLOOKUP(O9,'Para Cuadrar'!$C$10:$M$18,8,FALSE)</f>
        <v>0</v>
      </c>
      <c r="W9" s="95">
        <f>VLOOKUP(O9,'Para Cuadrar'!$C$10:$M$18,10,FALSE)</f>
        <v>0.75</v>
      </c>
      <c r="X9" s="45">
        <f>VLOOKUP(O9,'Para Cuadrar'!$C$10:$M$18,11,FALSE)</f>
        <v>470</v>
      </c>
    </row>
    <row r="10" spans="2:24" x14ac:dyDescent="0.2">
      <c r="B10" s="40">
        <v>2</v>
      </c>
      <c r="C10" s="41" t="str">
        <f>VLOOKUP(B10,$B$50:$C$54,2,FALSE)</f>
        <v>Palmo FC</v>
      </c>
      <c r="D10" s="45">
        <f>VLOOKUP(C10,'Para Cuadrar'!$C$10:$M$18,2,FALSE)</f>
        <v>0</v>
      </c>
      <c r="E10" s="45">
        <f>VLOOKUP(C10,'Para Cuadrar'!$C$10:$M$18,3,FALSE)</f>
        <v>0</v>
      </c>
      <c r="F10" s="45">
        <f>VLOOKUP(C10,'Para Cuadrar'!$C$10:$M$18,4,FALSE)</f>
        <v>0</v>
      </c>
      <c r="G10" s="45">
        <f>VLOOKUP(C10,'Para Cuadrar'!$C$10:$M$18,5,FALSE)</f>
        <v>0</v>
      </c>
      <c r="H10" s="45">
        <f>VLOOKUP(C10,'Para Cuadrar'!$C$10:$M$18,6,FALSE)</f>
        <v>0</v>
      </c>
      <c r="I10" s="45">
        <f>VLOOKUP(C10,'Para Cuadrar'!$C$10:$M$18,7,FALSE)</f>
        <v>0</v>
      </c>
      <c r="J10" s="45">
        <f>VLOOKUP(C10,'Para Cuadrar'!$C$10:$M$18,8,FALSE)</f>
        <v>0</v>
      </c>
      <c r="K10" s="95">
        <f>VLOOKUP(C10,'Para Cuadrar'!$C$10:$M$18,10,FALSE)</f>
        <v>0.5</v>
      </c>
      <c r="L10" s="45">
        <f>VLOOKUP(C10,'Para Cuadrar'!$C$10:$M$18,11,FALSE)</f>
        <v>370</v>
      </c>
      <c r="N10" s="40">
        <v>2</v>
      </c>
      <c r="O10" s="41" t="str">
        <f>VLOOKUP(N10,$N$49:$O$52,2,FALSE)</f>
        <v>Los Amigos</v>
      </c>
      <c r="P10" s="45">
        <f>VLOOKUP(O10,'Para Cuadrar'!$C$10:$M$18,2,FALSE)</f>
        <v>0</v>
      </c>
      <c r="Q10" s="45">
        <f>VLOOKUP(O10,'Para Cuadrar'!$C$10:$M$18,3,FALSE)</f>
        <v>0</v>
      </c>
      <c r="R10" s="45">
        <f>VLOOKUP(O10,'Para Cuadrar'!$C$10:$M$18,4,FALSE)</f>
        <v>0</v>
      </c>
      <c r="S10" s="45">
        <f>VLOOKUP(O10,'Para Cuadrar'!$C$10:$M$18,5,FALSE)</f>
        <v>0</v>
      </c>
      <c r="T10" s="45">
        <f>VLOOKUP(O10,'Para Cuadrar'!$C$10:$M$18,6,FALSE)</f>
        <v>0</v>
      </c>
      <c r="U10" s="45">
        <f>VLOOKUP(O10,'Para Cuadrar'!$C$10:$M$18,7,FALSE)</f>
        <v>0</v>
      </c>
      <c r="V10" s="45">
        <f>VLOOKUP(O10,'Para Cuadrar'!$C$10:$M$18,8,FALSE)</f>
        <v>0</v>
      </c>
      <c r="W10" s="95">
        <f>VLOOKUP(O10,'Para Cuadrar'!$C$10:$M$18,10,FALSE)</f>
        <v>0.25</v>
      </c>
      <c r="X10" s="45">
        <f>VLOOKUP(O10,'Para Cuadrar'!$C$10:$M$18,11,FALSE)</f>
        <v>190</v>
      </c>
    </row>
    <row r="11" spans="2:24" x14ac:dyDescent="0.2">
      <c r="B11" s="40">
        <v>3</v>
      </c>
      <c r="C11" s="41" t="str">
        <f>VLOOKUP(B11,$B$50:$C$54,2,FALSE)</f>
        <v>Zamba</v>
      </c>
      <c r="D11" s="45">
        <f>VLOOKUP(C11,'Para Cuadrar'!$C$10:$M$18,2,FALSE)</f>
        <v>0</v>
      </c>
      <c r="E11" s="45">
        <f>VLOOKUP(C11,'Para Cuadrar'!$C$10:$M$18,3,FALSE)</f>
        <v>0</v>
      </c>
      <c r="F11" s="45">
        <f>VLOOKUP(C11,'Para Cuadrar'!$C$10:$M$18,4,FALSE)</f>
        <v>0</v>
      </c>
      <c r="G11" s="45">
        <f>VLOOKUP(C11,'Para Cuadrar'!$C$10:$M$18,5,FALSE)</f>
        <v>0</v>
      </c>
      <c r="H11" s="45">
        <f>VLOOKUP(C11,'Para Cuadrar'!$C$10:$M$18,6,FALSE)</f>
        <v>0</v>
      </c>
      <c r="I11" s="45">
        <f>VLOOKUP(C11,'Para Cuadrar'!$C$10:$M$18,7,FALSE)</f>
        <v>0</v>
      </c>
      <c r="J11" s="45">
        <f>VLOOKUP(C11,'Para Cuadrar'!$C$10:$M$18,8,FALSE)</f>
        <v>0</v>
      </c>
      <c r="K11" s="95">
        <f>VLOOKUP(C11,'Para Cuadrar'!$C$10:$M$18,10,FALSE)</f>
        <v>0</v>
      </c>
      <c r="L11" s="45">
        <f>VLOOKUP(C11,'Para Cuadrar'!$C$10:$M$18,11,FALSE)</f>
        <v>350</v>
      </c>
      <c r="N11" s="40">
        <v>3</v>
      </c>
      <c r="O11" s="41" t="str">
        <f>VLOOKUP(N11,$N$49:$O$52,2,FALSE)</f>
        <v>Colonia Carmera</v>
      </c>
      <c r="P11" s="45">
        <f>VLOOKUP(O11,'Para Cuadrar'!$C$10:$M$18,2,FALSE)</f>
        <v>0</v>
      </c>
      <c r="Q11" s="45">
        <f>VLOOKUP(O11,'Para Cuadrar'!$C$10:$M$18,3,FALSE)</f>
        <v>0</v>
      </c>
      <c r="R11" s="45">
        <f>VLOOKUP(O11,'Para Cuadrar'!$C$10:$M$18,4,FALSE)</f>
        <v>0</v>
      </c>
      <c r="S11" s="45">
        <f>VLOOKUP(O11,'Para Cuadrar'!$C$10:$M$18,5,FALSE)</f>
        <v>0</v>
      </c>
      <c r="T11" s="45">
        <f>VLOOKUP(O11,'Para Cuadrar'!$C$10:$M$18,6,FALSE)</f>
        <v>0</v>
      </c>
      <c r="U11" s="45">
        <f>VLOOKUP(O11,'Para Cuadrar'!$C$10:$M$18,7,FALSE)</f>
        <v>0</v>
      </c>
      <c r="V11" s="45">
        <f>VLOOKUP(O11,'Para Cuadrar'!$C$10:$M$18,8,FALSE)</f>
        <v>0</v>
      </c>
      <c r="W11" s="95">
        <f>VLOOKUP(O11,'Para Cuadrar'!$C$10:$M$18,10,FALSE)</f>
        <v>0</v>
      </c>
      <c r="X11" s="45">
        <f>VLOOKUP(O11,'Para Cuadrar'!$C$10:$M$18,11,FALSE)</f>
        <v>450</v>
      </c>
    </row>
    <row r="12" spans="2:24" x14ac:dyDescent="0.2">
      <c r="B12" s="40">
        <v>4</v>
      </c>
      <c r="C12" s="41" t="str">
        <f>VLOOKUP(B12,$B$50:$C$54,2,FALSE)</f>
        <v>Familia Real</v>
      </c>
      <c r="D12" s="45">
        <f>VLOOKUP(C12,'Para Cuadrar'!$C$10:$M$18,2,FALSE)</f>
        <v>0</v>
      </c>
      <c r="E12" s="45">
        <f>VLOOKUP(C12,'Para Cuadrar'!$C$10:$M$18,3,FALSE)</f>
        <v>0</v>
      </c>
      <c r="F12" s="45">
        <f>VLOOKUP(C12,'Para Cuadrar'!$C$10:$M$18,4,FALSE)</f>
        <v>0</v>
      </c>
      <c r="G12" s="45">
        <f>VLOOKUP(C12,'Para Cuadrar'!$C$10:$M$18,5,FALSE)</f>
        <v>0</v>
      </c>
      <c r="H12" s="45">
        <f>VLOOKUP(C12,'Para Cuadrar'!$C$10:$M$18,6,FALSE)</f>
        <v>0</v>
      </c>
      <c r="I12" s="45">
        <f>VLOOKUP(C12,'Para Cuadrar'!$C$10:$M$18,7,FALSE)</f>
        <v>0</v>
      </c>
      <c r="J12" s="45">
        <f>VLOOKUP(C12,'Para Cuadrar'!$C$10:$M$18,8,FALSE)</f>
        <v>0</v>
      </c>
      <c r="K12" s="95">
        <f>VLOOKUP(C12,'Para Cuadrar'!$C$10:$M$18,10,FALSE)</f>
        <v>0</v>
      </c>
      <c r="L12" s="45">
        <f>VLOOKUP(C12,'Para Cuadrar'!$C$10:$M$18,11,FALSE)</f>
        <v>200</v>
      </c>
      <c r="N12" s="63">
        <v>4</v>
      </c>
      <c r="O12" s="64" t="str">
        <f>VLOOKUP(N12,$N$49:$O$52,2,FALSE)</f>
        <v>Clase Aparte</v>
      </c>
      <c r="P12" s="45">
        <f>VLOOKUP(O12,'Para Cuadrar'!$C$10:$M$18,2,FALSE)</f>
        <v>0</v>
      </c>
      <c r="Q12" s="45">
        <f>VLOOKUP(O12,'Para Cuadrar'!$C$10:$M$18,3,FALSE)</f>
        <v>0</v>
      </c>
      <c r="R12" s="45">
        <f>VLOOKUP(O12,'Para Cuadrar'!$C$10:$M$18,4,FALSE)</f>
        <v>0</v>
      </c>
      <c r="S12" s="45">
        <f>VLOOKUP(O12,'Para Cuadrar'!$C$10:$M$18,5,FALSE)</f>
        <v>0</v>
      </c>
      <c r="T12" s="45">
        <f>VLOOKUP(O12,'Para Cuadrar'!$C$10:$M$18,6,FALSE)</f>
        <v>0</v>
      </c>
      <c r="U12" s="45">
        <f>VLOOKUP(O12,'Para Cuadrar'!$C$10:$M$18,7,FALSE)</f>
        <v>0</v>
      </c>
      <c r="V12" s="45">
        <f>VLOOKUP(O12,'Para Cuadrar'!$C$10:$M$18,8,FALSE)</f>
        <v>0</v>
      </c>
      <c r="W12" s="95">
        <f>VLOOKUP(O12,'Para Cuadrar'!$C$10:$M$18,10,FALSE)</f>
        <v>0</v>
      </c>
      <c r="X12" s="45">
        <f>VLOOKUP(O12,'Para Cuadrar'!$C$10:$M$18,11,FALSE)</f>
        <v>260</v>
      </c>
    </row>
    <row r="13" spans="2:24" x14ac:dyDescent="0.2">
      <c r="B13" s="63">
        <v>5</v>
      </c>
      <c r="C13" s="64" t="str">
        <f>VLOOKUP(B13,$B$50:$C$54,2,FALSE)</f>
        <v>Heroicos</v>
      </c>
      <c r="D13" s="45">
        <f>VLOOKUP(C13,'Para Cuadrar'!$C$10:$M$18,2,FALSE)</f>
        <v>0</v>
      </c>
      <c r="E13" s="45">
        <f>VLOOKUP(C13,'Para Cuadrar'!$C$10:$M$18,3,FALSE)</f>
        <v>0</v>
      </c>
      <c r="F13" s="45">
        <f>VLOOKUP(C13,'Para Cuadrar'!$C$10:$M$18,4,FALSE)</f>
        <v>0</v>
      </c>
      <c r="G13" s="45">
        <f>VLOOKUP(C13,'Para Cuadrar'!$C$10:$M$18,5,FALSE)</f>
        <v>0</v>
      </c>
      <c r="H13" s="45">
        <f>VLOOKUP(C13,'Para Cuadrar'!$C$10:$M$18,6,FALSE)</f>
        <v>0</v>
      </c>
      <c r="I13" s="45">
        <f>VLOOKUP(C13,'Para Cuadrar'!$C$10:$M$18,7,FALSE)</f>
        <v>0</v>
      </c>
      <c r="J13" s="45">
        <f>VLOOKUP(C13,'Para Cuadrar'!$C$10:$M$18,8,FALSE)</f>
        <v>0</v>
      </c>
      <c r="K13" s="95">
        <f>VLOOKUP(C13,'Para Cuadrar'!$C$10:$M$18,10,FALSE)</f>
        <v>0</v>
      </c>
      <c r="L13" s="45">
        <f>VLOOKUP(C13,'Para Cuadrar'!$C$10:$M$18,11,FALSE)</f>
        <v>160</v>
      </c>
    </row>
    <row r="14" spans="2:24" ht="15" customHeight="1" x14ac:dyDescent="0.2"/>
    <row r="16" spans="2:24" ht="15" customHeight="1" x14ac:dyDescent="0.2"/>
    <row r="17" ht="15" customHeight="1" x14ac:dyDescent="0.2"/>
    <row r="48" spans="15:15" x14ac:dyDescent="0.2">
      <c r="O48" s="65" t="s">
        <v>58</v>
      </c>
    </row>
    <row r="49" spans="2:17" x14ac:dyDescent="0.2">
      <c r="C49" s="65" t="s">
        <v>57</v>
      </c>
      <c r="N49" s="26">
        <f>IF(P49="","",RANK(P49,$P$49:$P$52,1))</f>
        <v>1</v>
      </c>
      <c r="O49" s="3" t="s">
        <v>74</v>
      </c>
      <c r="P49" s="26">
        <f>INDEX('Para Cuadrar'!$A$10:$A$18,MATCH(O49,'Para Cuadrar'!$C$10:$C$18,0),1)</f>
        <v>2</v>
      </c>
      <c r="Q49" t="s">
        <v>38</v>
      </c>
    </row>
    <row r="50" spans="2:17" x14ac:dyDescent="0.2">
      <c r="B50" s="26">
        <f>IF(D50="","",RANK(D50,$D$50:$D$54,1))</f>
        <v>1</v>
      </c>
      <c r="C50" s="38" t="s">
        <v>76</v>
      </c>
      <c r="D50" s="3">
        <f>INDEX('Para Cuadrar'!$A$10:$A$18,MATCH(C50,'Para Cuadrar'!$C$10:$C$18,0),1)</f>
        <v>1</v>
      </c>
      <c r="E50" t="s">
        <v>70</v>
      </c>
      <c r="N50" s="26">
        <f>IF(P50="","",RANK(P50,$P$49:$P$52,1))</f>
        <v>2</v>
      </c>
      <c r="O50" s="3" t="s">
        <v>47</v>
      </c>
      <c r="P50" s="26">
        <f>INDEX('Para Cuadrar'!$A$10:$A$18,MATCH(O50,'Para Cuadrar'!$C$10:$C$18,0),1)</f>
        <v>4</v>
      </c>
      <c r="Q50" t="s">
        <v>70</v>
      </c>
    </row>
    <row r="51" spans="2:17" x14ac:dyDescent="0.2">
      <c r="B51" s="26">
        <f>IF(D51="","",RANK(D51,$D$50:$D$54,1))</f>
        <v>2</v>
      </c>
      <c r="C51" s="38" t="s">
        <v>70</v>
      </c>
      <c r="D51" s="3">
        <f>INDEX('Para Cuadrar'!$A$10:$A$18,MATCH(C51,'Para Cuadrar'!$C$10:$C$18,0),1)</f>
        <v>3</v>
      </c>
      <c r="E51" t="s">
        <v>41</v>
      </c>
      <c r="N51" s="26">
        <f>IF(P51="","",RANK(P51,$P$49:$P$52,1))</f>
        <v>3</v>
      </c>
      <c r="O51" s="3" t="s">
        <v>75</v>
      </c>
      <c r="P51" s="26">
        <f>INDEX('Para Cuadrar'!$A$10:$A$18,MATCH(O51,'Para Cuadrar'!$C$10:$C$18,0),1)</f>
        <v>6</v>
      </c>
      <c r="Q51" t="s">
        <v>49</v>
      </c>
    </row>
    <row r="52" spans="2:17" x14ac:dyDescent="0.2">
      <c r="B52" s="26">
        <f>IF(D52="","",RANK(D52,$D$50:$D$54,1))</f>
        <v>3</v>
      </c>
      <c r="C52" s="3" t="s">
        <v>71</v>
      </c>
      <c r="D52" s="3">
        <f>INDEX('Para Cuadrar'!$A$10:$A$18,MATCH(C52,'Para Cuadrar'!$C$10:$C$18,0),1)</f>
        <v>5</v>
      </c>
      <c r="E52" t="s">
        <v>45</v>
      </c>
      <c r="N52" s="26">
        <f>IF(P52="","",RANK(P52,$P$49:$P$52,1))</f>
        <v>4</v>
      </c>
      <c r="O52" s="3" t="s">
        <v>67</v>
      </c>
      <c r="P52" s="26">
        <f>INDEX('Para Cuadrar'!$A$10:$A$18,MATCH(O52,'Para Cuadrar'!$C$10:$C$18,0),1)</f>
        <v>8</v>
      </c>
      <c r="Q52" t="s">
        <v>44</v>
      </c>
    </row>
    <row r="53" spans="2:17" x14ac:dyDescent="0.2">
      <c r="B53" s="26">
        <f>IF(D53="","",RANK(D53,$D$50:$D$54,1))</f>
        <v>4</v>
      </c>
      <c r="C53" s="3" t="s">
        <v>51</v>
      </c>
      <c r="D53" s="3">
        <f>INDEX('Para Cuadrar'!$A$10:$A$18,MATCH(C53,'Para Cuadrar'!$C$10:$C$18,0),1)</f>
        <v>7</v>
      </c>
      <c r="E53" t="s">
        <v>67</v>
      </c>
    </row>
    <row r="54" spans="2:17" x14ac:dyDescent="0.2">
      <c r="B54" s="26">
        <f>IF(D54="","",RANK(D54,$D$50:$D$54,1))</f>
        <v>5</v>
      </c>
      <c r="C54" s="3" t="s">
        <v>54</v>
      </c>
      <c r="D54" s="3">
        <f>INDEX('Para Cuadrar'!$A$10:$A$18,MATCH(C54,'Para Cuadrar'!$C$10:$C$18,0),1)</f>
        <v>9</v>
      </c>
      <c r="E54" t="s">
        <v>51</v>
      </c>
    </row>
    <row r="60" spans="2:17" x14ac:dyDescent="0.2">
      <c r="O60" s="65" t="s">
        <v>60</v>
      </c>
    </row>
    <row r="61" spans="2:17" x14ac:dyDescent="0.2">
      <c r="C61" s="65" t="s">
        <v>59</v>
      </c>
      <c r="N61" s="26" t="e">
        <f>IF(P61="","",RANK(P61,$P$61:$P$65,1))</f>
        <v>#N/A</v>
      </c>
      <c r="O61" s="3" t="s">
        <v>40</v>
      </c>
      <c r="P61" s="26" t="e">
        <f>INDEX('Para Cuadrar'!$A$10:$A$18,MATCH(O61,'Para Cuadrar'!$C$10:$C$18,0),1)</f>
        <v>#N/A</v>
      </c>
    </row>
    <row r="62" spans="2:17" x14ac:dyDescent="0.2">
      <c r="B62" s="26" t="e">
        <f>IF(D62="","",RANK(D62,$D$62:$D$66,1))</f>
        <v>#N/A</v>
      </c>
      <c r="C62" s="3" t="s">
        <v>38</v>
      </c>
      <c r="D62" s="26" t="e">
        <f>INDEX('Para Cuadrar'!$A$10:$A$18,MATCH(C62,'Para Cuadrar'!$C$10:$C$18,0),1)</f>
        <v>#N/A</v>
      </c>
      <c r="N62" s="26" t="e">
        <f>IF(P62="","",RANK(P62,$P$61:$P$65,1))</f>
        <v>#N/A</v>
      </c>
      <c r="O62" s="3" t="s">
        <v>39</v>
      </c>
      <c r="P62" s="26" t="e">
        <f>INDEX('Para Cuadrar'!$A$10:$A$18,MATCH(O62,'Para Cuadrar'!$C$10:$C$18,0),1)</f>
        <v>#N/A</v>
      </c>
    </row>
    <row r="63" spans="2:17" x14ac:dyDescent="0.2">
      <c r="B63" s="26" t="e">
        <f>IF(D63="","",RANK(D63,$D$62:$D$66,1))</f>
        <v>#N/A</v>
      </c>
      <c r="C63" s="3" t="s">
        <v>49</v>
      </c>
      <c r="D63" s="26" t="e">
        <f>INDEX('Para Cuadrar'!$A$10:$A$18,MATCH(C63,'Para Cuadrar'!$C$10:$C$18,0),1)</f>
        <v>#N/A</v>
      </c>
      <c r="N63" s="26" t="e">
        <f>IF(P63="","",RANK(P63,$P$61:$P$65,1))</f>
        <v>#N/A</v>
      </c>
      <c r="O63" s="3" t="s">
        <v>42</v>
      </c>
      <c r="P63" s="26" t="e">
        <f>INDEX('Para Cuadrar'!$A$10:$A$18,MATCH(O63,'Para Cuadrar'!$C$10:$C$18,0),1)</f>
        <v>#N/A</v>
      </c>
    </row>
    <row r="64" spans="2:17" x14ac:dyDescent="0.2">
      <c r="B64" s="26" t="e">
        <f>IF(D64="","",RANK(D64,$D$62:$D$66,1))</f>
        <v>#N/A</v>
      </c>
      <c r="C64" s="3" t="s">
        <v>67</v>
      </c>
      <c r="D64" s="26">
        <f>INDEX('Para Cuadrar'!$A$10:$A$18,MATCH(C64,'Para Cuadrar'!$C$10:$C$18,0),1)</f>
        <v>8</v>
      </c>
      <c r="N64" s="26" t="e">
        <f>IF(P64="","",RANK(P64,$P$61:$P$65,1))</f>
        <v>#N/A</v>
      </c>
      <c r="O64" s="3" t="s">
        <v>45</v>
      </c>
      <c r="P64" s="26" t="e">
        <f>INDEX('Para Cuadrar'!$A$10:$A$18,MATCH(O64,'Para Cuadrar'!$C$10:$C$18,0),1)</f>
        <v>#N/A</v>
      </c>
    </row>
    <row r="65" spans="2:16" x14ac:dyDescent="0.2">
      <c r="B65" s="26" t="e">
        <f>IF(D65="","",RANK(D65,$D$62:$D$66,1))</f>
        <v>#N/A</v>
      </c>
      <c r="C65" s="3" t="s">
        <v>43</v>
      </c>
      <c r="D65" s="26" t="e">
        <f>INDEX('Para Cuadrar'!$A$10:$A$18,MATCH(C65,'Para Cuadrar'!$C$10:$C$18,0),1)</f>
        <v>#N/A</v>
      </c>
      <c r="N65" s="26" t="e">
        <f>IF(P65="","",RANK(P65,$P$61:$P$65,1))</f>
        <v>#N/A</v>
      </c>
      <c r="O65" s="3" t="s">
        <v>46</v>
      </c>
      <c r="P65" s="26" t="e">
        <f>INDEX('Para Cuadrar'!$A$10:$A$18,MATCH(O65,'Para Cuadrar'!$C$10:$C$18,0),1)</f>
        <v>#N/A</v>
      </c>
    </row>
    <row r="66" spans="2:16" x14ac:dyDescent="0.2">
      <c r="B66" s="26" t="e">
        <f>IF(D66="","",RANK(D66,$D$62:$D$66,1))</f>
        <v>#N/A</v>
      </c>
      <c r="C66" s="3" t="s">
        <v>51</v>
      </c>
      <c r="D66" s="26">
        <f>INDEX('Para Cuadrar'!$A$10:$A$18,MATCH(C66,'Para Cuadrar'!$C$10:$C$18,0),1)</f>
        <v>7</v>
      </c>
    </row>
  </sheetData>
  <mergeCells count="6">
    <mergeCell ref="B3:L6"/>
    <mergeCell ref="B7:C7"/>
    <mergeCell ref="D7:L7"/>
    <mergeCell ref="N3:X6"/>
    <mergeCell ref="N7:O7"/>
    <mergeCell ref="P7:X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7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2:K13"/>
  <sheetViews>
    <sheetView showGridLines="0" workbookViewId="0">
      <selection activeCell="H8" sqref="H8"/>
    </sheetView>
  </sheetViews>
  <sheetFormatPr defaultColWidth="11.42578125" defaultRowHeight="12.75" x14ac:dyDescent="0.2"/>
  <cols>
    <col min="2" max="2" width="1.42578125" customWidth="1"/>
    <col min="4" max="4" width="20.140625" bestFit="1" customWidth="1"/>
    <col min="5" max="5" width="4.7109375" bestFit="1" customWidth="1"/>
    <col min="6" max="6" width="4.7109375" customWidth="1"/>
    <col min="7" max="7" width="4.5703125" customWidth="1"/>
    <col min="8" max="8" width="4.140625" customWidth="1"/>
    <col min="9" max="9" width="12" bestFit="1" customWidth="1"/>
    <col min="10" max="10" width="14.42578125" customWidth="1"/>
    <col min="11" max="11" width="7.5703125" customWidth="1"/>
  </cols>
  <sheetData>
    <row r="2" spans="2:11" ht="30" x14ac:dyDescent="0.25">
      <c r="B2" s="82"/>
      <c r="C2" s="83"/>
      <c r="D2" s="83"/>
      <c r="E2" s="84" t="s">
        <v>61</v>
      </c>
      <c r="F2" s="84" t="s">
        <v>69</v>
      </c>
      <c r="G2" s="83"/>
      <c r="H2" s="83"/>
      <c r="I2" s="83"/>
      <c r="J2" s="83"/>
      <c r="K2" s="85"/>
    </row>
    <row r="3" spans="2:11" ht="15" x14ac:dyDescent="0.25">
      <c r="B3" s="86"/>
      <c r="C3" s="119" t="s">
        <v>62</v>
      </c>
      <c r="D3" s="67" t="s">
        <v>68</v>
      </c>
      <c r="E3" s="98">
        <v>0</v>
      </c>
      <c r="F3" s="98"/>
      <c r="G3" s="79"/>
      <c r="H3" s="79"/>
      <c r="I3" s="87"/>
      <c r="J3" s="88"/>
      <c r="K3" s="89"/>
    </row>
    <row r="4" spans="2:11" ht="15" x14ac:dyDescent="0.25">
      <c r="B4" s="86"/>
      <c r="C4" s="119"/>
      <c r="D4" s="69" t="s">
        <v>45</v>
      </c>
      <c r="E4" s="98">
        <v>6</v>
      </c>
      <c r="F4" s="98"/>
      <c r="G4" s="75"/>
      <c r="H4" s="79"/>
      <c r="I4" s="87"/>
      <c r="J4" s="88"/>
      <c r="K4" s="89"/>
    </row>
    <row r="5" spans="2:11" ht="15" x14ac:dyDescent="0.25">
      <c r="B5" s="86"/>
      <c r="C5" s="88"/>
      <c r="D5" s="79"/>
      <c r="E5" s="79"/>
      <c r="F5" s="79"/>
      <c r="G5" s="76"/>
      <c r="H5" s="80"/>
      <c r="I5" s="87"/>
      <c r="J5" s="88"/>
      <c r="K5" s="89"/>
    </row>
    <row r="6" spans="2:11" ht="15" x14ac:dyDescent="0.25">
      <c r="B6" s="86"/>
      <c r="C6" s="80"/>
      <c r="D6" s="79"/>
      <c r="E6" s="79"/>
      <c r="F6" s="79"/>
      <c r="G6" s="77"/>
      <c r="H6" s="79"/>
      <c r="I6" s="87"/>
      <c r="J6" s="88"/>
      <c r="K6" s="76" t="s">
        <v>61</v>
      </c>
    </row>
    <row r="7" spans="2:11" ht="26.25" x14ac:dyDescent="0.25">
      <c r="B7" s="86"/>
      <c r="C7" s="88"/>
      <c r="D7" s="79"/>
      <c r="E7" s="79"/>
      <c r="F7" s="79"/>
      <c r="G7" s="77"/>
      <c r="H7" s="70"/>
      <c r="I7" s="120" t="s">
        <v>64</v>
      </c>
      <c r="J7" s="71" t="str">
        <f>IF(AND(E3="",E4=""),C3,IF(E3&gt;E4,D3,D4))</f>
        <v>Dementes</v>
      </c>
      <c r="K7" s="100"/>
    </row>
    <row r="8" spans="2:11" ht="26.25" x14ac:dyDescent="0.25">
      <c r="B8" s="86"/>
      <c r="C8" s="88"/>
      <c r="D8" s="79"/>
      <c r="E8" s="79"/>
      <c r="F8" s="79"/>
      <c r="G8" s="77"/>
      <c r="H8" s="79"/>
      <c r="I8" s="120"/>
      <c r="J8" s="72" t="str">
        <f>IF(AND(E11="",E12=""),C11,IF(E11&gt;E12,D11,D12))</f>
        <v>Palmo Fc</v>
      </c>
      <c r="K8" s="100"/>
    </row>
    <row r="9" spans="2:11" ht="15" x14ac:dyDescent="0.25">
      <c r="B9" s="86"/>
      <c r="C9" s="88"/>
      <c r="D9" s="79"/>
      <c r="E9" s="79"/>
      <c r="F9" s="79"/>
      <c r="G9" s="77"/>
      <c r="H9" s="79"/>
      <c r="I9" s="87"/>
      <c r="J9" s="88"/>
      <c r="K9" s="89"/>
    </row>
    <row r="10" spans="2:11" ht="15" x14ac:dyDescent="0.25">
      <c r="B10" s="86"/>
      <c r="C10" s="88"/>
      <c r="D10" s="79"/>
      <c r="E10" s="81" t="s">
        <v>61</v>
      </c>
      <c r="F10" s="81"/>
      <c r="G10" s="78"/>
      <c r="H10" s="81"/>
      <c r="I10" s="87"/>
      <c r="J10" s="88"/>
      <c r="K10" s="89"/>
    </row>
    <row r="11" spans="2:11" ht="15" x14ac:dyDescent="0.25">
      <c r="B11" s="86"/>
      <c r="C11" s="121" t="s">
        <v>63</v>
      </c>
      <c r="D11" s="73" t="s">
        <v>38</v>
      </c>
      <c r="E11" s="68">
        <v>0</v>
      </c>
      <c r="F11" s="99"/>
      <c r="G11" s="99"/>
      <c r="H11" s="79"/>
      <c r="I11" s="87"/>
      <c r="J11" s="88"/>
      <c r="K11" s="89"/>
    </row>
    <row r="12" spans="2:11" ht="15" x14ac:dyDescent="0.25">
      <c r="B12" s="86"/>
      <c r="C12" s="121"/>
      <c r="D12" s="73" t="s">
        <v>72</v>
      </c>
      <c r="E12" s="68">
        <v>1</v>
      </c>
      <c r="F12" s="74"/>
      <c r="G12" s="74"/>
      <c r="H12" s="79"/>
      <c r="I12" s="87"/>
      <c r="J12" s="88"/>
      <c r="K12" s="89"/>
    </row>
    <row r="13" spans="2:11" x14ac:dyDescent="0.2">
      <c r="B13" s="90"/>
      <c r="C13" s="91"/>
      <c r="D13" s="91"/>
      <c r="E13" s="91"/>
      <c r="F13" s="91"/>
      <c r="G13" s="91"/>
      <c r="H13" s="91"/>
      <c r="I13" s="91"/>
      <c r="J13" s="91"/>
      <c r="K13" s="92"/>
    </row>
  </sheetData>
  <mergeCells count="3">
    <mergeCell ref="C3:C4"/>
    <mergeCell ref="I7:I8"/>
    <mergeCell ref="C11:C1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3:W21"/>
  <sheetViews>
    <sheetView showGridLines="0" topLeftCell="A3" workbookViewId="0">
      <selection activeCell="L24" sqref="L24"/>
    </sheetView>
  </sheetViews>
  <sheetFormatPr defaultColWidth="11.42578125" defaultRowHeight="12.75" x14ac:dyDescent="0.2"/>
  <cols>
    <col min="2" max="2" width="9.7109375" customWidth="1"/>
    <col min="3" max="3" width="26.7109375" customWidth="1"/>
    <col min="4" max="10" width="4.5703125" customWidth="1"/>
    <col min="11" max="12" width="5.5703125" bestFit="1" customWidth="1"/>
    <col min="13" max="13" width="5.5703125" customWidth="1"/>
    <col min="14" max="14" width="16.42578125" bestFit="1" customWidth="1"/>
    <col min="17" max="17" width="16.7109375" bestFit="1" customWidth="1"/>
    <col min="18" max="19" width="12" bestFit="1" customWidth="1"/>
  </cols>
  <sheetData>
    <row r="3" spans="1:23" x14ac:dyDescent="0.2">
      <c r="K3">
        <f>IF(OR(C10="Juventus A",C10="Juventus A"),-3,IF(C10="Palmo FC",'Tabla de Posiciones'!Z3+1,IF(C10="Inter de Cartagena",'Tabla de Posiciones'!Z3+0.75,IF(C10="Dementes",'Tabla de Posiciones'!Z3+0.5,IF(C10="Juventus A",'Tabla de Posiciones'!Z3+0.25,'Tabla de Posiciones'!Z3)))))</f>
        <v>0.75</v>
      </c>
    </row>
    <row r="4" spans="1:23" x14ac:dyDescent="0.2">
      <c r="B4" s="105" t="s">
        <v>50</v>
      </c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7"/>
      <c r="Q4" s="101" t="s">
        <v>77</v>
      </c>
    </row>
    <row r="5" spans="1:23" x14ac:dyDescent="0.2">
      <c r="B5" s="108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10"/>
    </row>
    <row r="6" spans="1:23" x14ac:dyDescent="0.2">
      <c r="B6" s="108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10"/>
    </row>
    <row r="7" spans="1:23" x14ac:dyDescent="0.2">
      <c r="B7" s="111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3"/>
    </row>
    <row r="8" spans="1:23" x14ac:dyDescent="0.2">
      <c r="B8" s="114">
        <f ca="1">TODAY()</f>
        <v>46237</v>
      </c>
      <c r="C8" s="115"/>
      <c r="D8" s="116" t="s">
        <v>15</v>
      </c>
      <c r="E8" s="117"/>
      <c r="F8" s="117"/>
      <c r="G8" s="117"/>
      <c r="H8" s="117"/>
      <c r="I8" s="117"/>
      <c r="J8" s="117"/>
      <c r="K8" s="117"/>
      <c r="L8" s="117"/>
      <c r="M8" s="118"/>
    </row>
    <row r="9" spans="1:23" x14ac:dyDescent="0.2">
      <c r="B9" s="40" t="s">
        <v>21</v>
      </c>
      <c r="C9" s="43" t="s">
        <v>12</v>
      </c>
      <c r="D9" s="44" t="s">
        <v>4</v>
      </c>
      <c r="E9" s="44" t="s">
        <v>5</v>
      </c>
      <c r="F9" s="44" t="s">
        <v>6</v>
      </c>
      <c r="G9" s="44" t="s">
        <v>7</v>
      </c>
      <c r="H9" s="44" t="s">
        <v>8</v>
      </c>
      <c r="I9" s="44" t="s">
        <v>9</v>
      </c>
      <c r="J9" s="44" t="s">
        <v>10</v>
      </c>
      <c r="K9" s="44"/>
      <c r="L9" s="44" t="s">
        <v>11</v>
      </c>
      <c r="M9" s="44" t="s">
        <v>48</v>
      </c>
      <c r="N9" s="55" t="s">
        <v>19</v>
      </c>
    </row>
    <row r="10" spans="1:23" x14ac:dyDescent="0.2">
      <c r="A10">
        <f t="shared" ref="A10:A18" si="0">IF(N10="","",RANK(N10,$N$10:$N$18,0))</f>
        <v>1</v>
      </c>
      <c r="B10" s="42">
        <v>1</v>
      </c>
      <c r="C10" s="41" t="str">
        <f>'Tabla de Posiciones'!B3</f>
        <v>Inter de Cartagena</v>
      </c>
      <c r="D10" s="56">
        <f>'Tabla de Posiciones'!S3</f>
        <v>0</v>
      </c>
      <c r="E10" s="56">
        <f>'Tabla de Posiciones'!T3</f>
        <v>0</v>
      </c>
      <c r="F10" s="56">
        <f>'Tabla de Posiciones'!U3</f>
        <v>0</v>
      </c>
      <c r="G10" s="56">
        <f>'Tabla de Posiciones'!V3</f>
        <v>0</v>
      </c>
      <c r="H10" s="56">
        <f>'Tabla de Posiciones'!W3</f>
        <v>0</v>
      </c>
      <c r="I10" s="56">
        <f>'Tabla de Posiciones'!X3</f>
        <v>0</v>
      </c>
      <c r="J10" s="56">
        <f>'Tabla de Posiciones'!Y3</f>
        <v>0</v>
      </c>
      <c r="K10" s="96">
        <f>IF(C10="Inter de Cartagena",'Tabla de Posiciones'!Z3+1,IF(C10="Mate Bolivar FC",'Tabla de Posiciones'!Z3+0.75,IF(C10="Palmo FC",'Tabla de Posiciones'!Z3+0.5,IF(C10="Los Amigos",'Tabla de Posiciones'!Z3+0.25,'Tabla de Posiciones'!Z3))))</f>
        <v>1</v>
      </c>
      <c r="L10" s="96">
        <f>K10</f>
        <v>1</v>
      </c>
      <c r="M10" s="56">
        <v>340</v>
      </c>
      <c r="N10" s="58">
        <f t="shared" ref="N10:N18" si="1">IF(AND(D10=0,K10=0),-2000000-ROW(),L10*100000000000+J10*1000000000-M10*10000000+H10*100000+I10*1000+D10*10+(30-ROW()))</f>
        <v>96600000020</v>
      </c>
      <c r="Q10" s="59">
        <f>K10*100000000000</f>
        <v>100000000000</v>
      </c>
      <c r="R10" s="59">
        <f>J10*1000000000</f>
        <v>0</v>
      </c>
      <c r="S10" s="59">
        <f>M10*10000000</f>
        <v>3400000000</v>
      </c>
      <c r="T10" s="59">
        <f>H10*100000</f>
        <v>0</v>
      </c>
      <c r="U10" s="59">
        <f t="shared" ref="U10:U18" si="2">I10*1000</f>
        <v>0</v>
      </c>
      <c r="V10" s="59">
        <f t="shared" ref="V10:V18" si="3">D10*10</f>
        <v>0</v>
      </c>
      <c r="W10" s="59">
        <f t="shared" ref="W10:W18" si="4">30-ROW()</f>
        <v>20</v>
      </c>
    </row>
    <row r="11" spans="1:23" x14ac:dyDescent="0.2">
      <c r="A11">
        <f t="shared" si="0"/>
        <v>2</v>
      </c>
      <c r="B11" s="40">
        <v>2</v>
      </c>
      <c r="C11" s="41" t="str">
        <f>'Tabla de Posiciones'!B4</f>
        <v>Mate Bolivar FC</v>
      </c>
      <c r="D11" s="56">
        <f>'Tabla de Posiciones'!S4</f>
        <v>0</v>
      </c>
      <c r="E11" s="56">
        <f>'Tabla de Posiciones'!T4</f>
        <v>0</v>
      </c>
      <c r="F11" s="57">
        <f>'Tabla de Posiciones'!U4</f>
        <v>0</v>
      </c>
      <c r="G11" s="57">
        <f>'Tabla de Posiciones'!V4</f>
        <v>0</v>
      </c>
      <c r="H11" s="57">
        <f>'Tabla de Posiciones'!W4</f>
        <v>0</v>
      </c>
      <c r="I11" s="57">
        <f>'Tabla de Posiciones'!X4</f>
        <v>0</v>
      </c>
      <c r="J11" s="57">
        <f>'Tabla de Posiciones'!Y4</f>
        <v>0</v>
      </c>
      <c r="K11" s="96">
        <f>IF(C11="Inter de Cartagena",'Tabla de Posiciones'!Z4+1,IF(C11="Mate Bolivar FC",'Tabla de Posiciones'!Z4+0.75,IF(C11="Palmo FC",'Tabla de Posiciones'!Z4+0.5,IF(C11="Los Amigos",'Tabla de Posiciones'!Z4+0.25,'Tabla de Posiciones'!Z4))))</f>
        <v>0.75</v>
      </c>
      <c r="L11" s="96">
        <f t="shared" ref="L11:L18" si="5">K11</f>
        <v>0.75</v>
      </c>
      <c r="M11" s="56">
        <v>470</v>
      </c>
      <c r="N11" s="58">
        <f t="shared" si="1"/>
        <v>70300000019</v>
      </c>
      <c r="Q11" s="59">
        <f t="shared" ref="Q11:Q18" si="6">K11*100000000000</f>
        <v>75000000000</v>
      </c>
      <c r="R11" s="59">
        <f t="shared" ref="R11:R18" si="7">J11*1000000</f>
        <v>0</v>
      </c>
      <c r="S11" s="59">
        <f t="shared" ref="S11:S18" si="8">M11*100000</f>
        <v>47000000</v>
      </c>
      <c r="T11" s="59">
        <f t="shared" ref="T11:T18" si="9">H11*10000</f>
        <v>0</v>
      </c>
      <c r="U11" s="59">
        <f t="shared" si="2"/>
        <v>0</v>
      </c>
      <c r="V11" s="59">
        <f t="shared" si="3"/>
        <v>0</v>
      </c>
      <c r="W11" s="59">
        <f t="shared" si="4"/>
        <v>19</v>
      </c>
    </row>
    <row r="12" spans="1:23" x14ac:dyDescent="0.2">
      <c r="A12">
        <f t="shared" si="0"/>
        <v>3</v>
      </c>
      <c r="B12" s="42">
        <v>3</v>
      </c>
      <c r="C12" s="41" t="str">
        <f>'Tabla de Posiciones'!B5</f>
        <v>Palmo Fc</v>
      </c>
      <c r="D12" s="56">
        <f>'Tabla de Posiciones'!S5</f>
        <v>0</v>
      </c>
      <c r="E12" s="56">
        <f>'Tabla de Posiciones'!T5</f>
        <v>0</v>
      </c>
      <c r="F12" s="57">
        <f>'Tabla de Posiciones'!U5</f>
        <v>0</v>
      </c>
      <c r="G12" s="57">
        <f>'Tabla de Posiciones'!V5</f>
        <v>0</v>
      </c>
      <c r="H12" s="57">
        <f>'Tabla de Posiciones'!W5</f>
        <v>0</v>
      </c>
      <c r="I12" s="57">
        <f>'Tabla de Posiciones'!X5</f>
        <v>0</v>
      </c>
      <c r="J12" s="57">
        <f>'Tabla de Posiciones'!Y5</f>
        <v>0</v>
      </c>
      <c r="K12" s="96">
        <f>IF(C12="Inter de Cartagena",'Tabla de Posiciones'!Z5+1,IF(C12="Mate Bolivar FC",'Tabla de Posiciones'!Z5+0.75,IF(C12="Palmo FC",'Tabla de Posiciones'!Z5+0.5,IF(C12="Los Amigos",'Tabla de Posiciones'!Z5+0.25,'Tabla de Posiciones'!Z5))))</f>
        <v>0.5</v>
      </c>
      <c r="L12" s="96">
        <f t="shared" si="5"/>
        <v>0.5</v>
      </c>
      <c r="M12" s="56">
        <v>370</v>
      </c>
      <c r="N12" s="58">
        <f t="shared" si="1"/>
        <v>46300000018</v>
      </c>
      <c r="Q12" s="59">
        <f t="shared" si="6"/>
        <v>50000000000</v>
      </c>
      <c r="R12" s="59">
        <f t="shared" si="7"/>
        <v>0</v>
      </c>
      <c r="S12" s="59">
        <f t="shared" si="8"/>
        <v>37000000</v>
      </c>
      <c r="T12" s="59">
        <f t="shared" si="9"/>
        <v>0</v>
      </c>
      <c r="U12" s="59">
        <f t="shared" si="2"/>
        <v>0</v>
      </c>
      <c r="V12" s="59">
        <f t="shared" si="3"/>
        <v>0</v>
      </c>
      <c r="W12" s="59">
        <f t="shared" si="4"/>
        <v>18</v>
      </c>
    </row>
    <row r="13" spans="1:23" x14ac:dyDescent="0.2">
      <c r="A13">
        <f t="shared" si="0"/>
        <v>4</v>
      </c>
      <c r="B13" s="40">
        <v>4</v>
      </c>
      <c r="C13" s="41" t="str">
        <f>'Tabla de Posiciones'!B6</f>
        <v>Los Amigos</v>
      </c>
      <c r="D13" s="56">
        <f>'Tabla de Posiciones'!S6</f>
        <v>0</v>
      </c>
      <c r="E13" s="56">
        <f>'Tabla de Posiciones'!T6</f>
        <v>0</v>
      </c>
      <c r="F13" s="57">
        <f>'Tabla de Posiciones'!U6</f>
        <v>0</v>
      </c>
      <c r="G13" s="57">
        <f>'Tabla de Posiciones'!V6</f>
        <v>0</v>
      </c>
      <c r="H13" s="57">
        <f>'Tabla de Posiciones'!W6</f>
        <v>0</v>
      </c>
      <c r="I13" s="57">
        <f>'Tabla de Posiciones'!X6</f>
        <v>0</v>
      </c>
      <c r="J13" s="57">
        <f>'Tabla de Posiciones'!Y6</f>
        <v>0</v>
      </c>
      <c r="K13" s="96">
        <f>IF(C13="Inter de Cartagena",'Tabla de Posiciones'!Z6+1,IF(C13="Mate Bolivar FC",'Tabla de Posiciones'!Z6+0.75,IF(C13="Palmo FC",'Tabla de Posiciones'!Z6+0.5,IF(C13="Los Amigos",'Tabla de Posiciones'!Z6+0.25,'Tabla de Posiciones'!Z6))))</f>
        <v>0.25</v>
      </c>
      <c r="L13" s="96">
        <f t="shared" si="5"/>
        <v>0.25</v>
      </c>
      <c r="M13" s="56">
        <v>190</v>
      </c>
      <c r="N13" s="58">
        <f t="shared" si="1"/>
        <v>23100000017</v>
      </c>
      <c r="Q13" s="59">
        <f t="shared" si="6"/>
        <v>25000000000</v>
      </c>
      <c r="R13" s="59">
        <f t="shared" si="7"/>
        <v>0</v>
      </c>
      <c r="S13" s="59">
        <f t="shared" si="8"/>
        <v>19000000</v>
      </c>
      <c r="T13" s="59">
        <f t="shared" si="9"/>
        <v>0</v>
      </c>
      <c r="U13" s="59">
        <f t="shared" si="2"/>
        <v>0</v>
      </c>
      <c r="V13" s="59">
        <f t="shared" si="3"/>
        <v>0</v>
      </c>
      <c r="W13" s="59">
        <f t="shared" si="4"/>
        <v>17</v>
      </c>
    </row>
    <row r="14" spans="1:23" x14ac:dyDescent="0.2">
      <c r="A14">
        <f t="shared" si="0"/>
        <v>5</v>
      </c>
      <c r="B14" s="42">
        <v>5</v>
      </c>
      <c r="C14" s="41" t="str">
        <f>'Tabla de Posiciones'!B7</f>
        <v>Zamba</v>
      </c>
      <c r="D14" s="56">
        <f>'Tabla de Posiciones'!S7</f>
        <v>0</v>
      </c>
      <c r="E14" s="56">
        <f>'Tabla de Posiciones'!T7</f>
        <v>0</v>
      </c>
      <c r="F14" s="57">
        <f>'Tabla de Posiciones'!U7</f>
        <v>0</v>
      </c>
      <c r="G14" s="57">
        <f>'Tabla de Posiciones'!V7</f>
        <v>0</v>
      </c>
      <c r="H14" s="57">
        <f>'Tabla de Posiciones'!W7</f>
        <v>0</v>
      </c>
      <c r="I14" s="57">
        <f>'Tabla de Posiciones'!X7</f>
        <v>0</v>
      </c>
      <c r="J14" s="57">
        <f>'Tabla de Posiciones'!Y7</f>
        <v>0</v>
      </c>
      <c r="K14" s="96">
        <f>IF(C14="Inter de Cartagena",'Tabla de Posiciones'!Z7+1,IF(C14="Mate Bolivar FC",'Tabla de Posiciones'!Z7+0.75,IF(C14="Palmo FC",'Tabla de Posiciones'!Z7+0.5,IF(C14="Los Amigos",'Tabla de Posiciones'!Z7+0.25,'Tabla de Posiciones'!Z7))))</f>
        <v>0</v>
      </c>
      <c r="L14" s="96">
        <f t="shared" si="5"/>
        <v>0</v>
      </c>
      <c r="M14" s="56">
        <v>350</v>
      </c>
      <c r="N14" s="58">
        <f t="shared" si="1"/>
        <v>-2000014</v>
      </c>
      <c r="Q14" s="59">
        <f t="shared" si="6"/>
        <v>0</v>
      </c>
      <c r="R14" s="59">
        <f t="shared" si="7"/>
        <v>0</v>
      </c>
      <c r="S14" s="59">
        <f t="shared" si="8"/>
        <v>35000000</v>
      </c>
      <c r="T14" s="59">
        <f t="shared" si="9"/>
        <v>0</v>
      </c>
      <c r="U14" s="59">
        <f t="shared" si="2"/>
        <v>0</v>
      </c>
      <c r="V14" s="59">
        <f t="shared" si="3"/>
        <v>0</v>
      </c>
      <c r="W14" s="59">
        <f t="shared" si="4"/>
        <v>16</v>
      </c>
    </row>
    <row r="15" spans="1:23" x14ac:dyDescent="0.2">
      <c r="A15">
        <f t="shared" si="0"/>
        <v>6</v>
      </c>
      <c r="B15" s="40">
        <v>6</v>
      </c>
      <c r="C15" s="41" t="str">
        <f>'Tabla de Posiciones'!B8</f>
        <v>Colonia Carmera</v>
      </c>
      <c r="D15" s="56">
        <f>'Tabla de Posiciones'!S8</f>
        <v>0</v>
      </c>
      <c r="E15" s="56">
        <f>'Tabla de Posiciones'!T8</f>
        <v>0</v>
      </c>
      <c r="F15" s="57">
        <f>'Tabla de Posiciones'!U8</f>
        <v>0</v>
      </c>
      <c r="G15" s="57">
        <f>'Tabla de Posiciones'!V8</f>
        <v>0</v>
      </c>
      <c r="H15" s="57">
        <f>'Tabla de Posiciones'!W8</f>
        <v>0</v>
      </c>
      <c r="I15" s="57">
        <f>'Tabla de Posiciones'!X8</f>
        <v>0</v>
      </c>
      <c r="J15" s="57">
        <f>'Tabla de Posiciones'!Y8</f>
        <v>0</v>
      </c>
      <c r="K15" s="96">
        <f>IF(C15="Inter de Cartagena",'Tabla de Posiciones'!Z8+1,IF(C15="Mate Bolivar FC",'Tabla de Posiciones'!Z8+0.75,IF(C15="Palmo FC",'Tabla de Posiciones'!Z8+0.5,IF(C15="Los Amigos",'Tabla de Posiciones'!Z8+0.25,'Tabla de Posiciones'!Z8))))</f>
        <v>0</v>
      </c>
      <c r="L15" s="96">
        <f t="shared" si="5"/>
        <v>0</v>
      </c>
      <c r="M15" s="56">
        <v>450</v>
      </c>
      <c r="N15" s="58">
        <f t="shared" si="1"/>
        <v>-2000015</v>
      </c>
      <c r="Q15" s="59">
        <f t="shared" si="6"/>
        <v>0</v>
      </c>
      <c r="R15" s="59">
        <f t="shared" si="7"/>
        <v>0</v>
      </c>
      <c r="S15" s="59">
        <f t="shared" si="8"/>
        <v>45000000</v>
      </c>
      <c r="T15" s="59">
        <f t="shared" si="9"/>
        <v>0</v>
      </c>
      <c r="U15" s="59">
        <f t="shared" si="2"/>
        <v>0</v>
      </c>
      <c r="V15" s="59">
        <f t="shared" si="3"/>
        <v>0</v>
      </c>
      <c r="W15" s="59">
        <f t="shared" si="4"/>
        <v>15</v>
      </c>
    </row>
    <row r="16" spans="1:23" x14ac:dyDescent="0.2">
      <c r="A16">
        <f t="shared" si="0"/>
        <v>7</v>
      </c>
      <c r="B16" s="42">
        <v>7</v>
      </c>
      <c r="C16" s="41" t="str">
        <f>'Tabla de Posiciones'!B9</f>
        <v>Familia Real</v>
      </c>
      <c r="D16" s="56">
        <f>'Tabla de Posiciones'!S9</f>
        <v>0</v>
      </c>
      <c r="E16" s="56">
        <f>'Tabla de Posiciones'!T9</f>
        <v>0</v>
      </c>
      <c r="F16" s="57">
        <f>'Tabla de Posiciones'!U9</f>
        <v>0</v>
      </c>
      <c r="G16" s="57">
        <f>'Tabla de Posiciones'!V9</f>
        <v>0</v>
      </c>
      <c r="H16" s="57">
        <f>'Tabla de Posiciones'!W9</f>
        <v>0</v>
      </c>
      <c r="I16" s="57">
        <f>'Tabla de Posiciones'!X9</f>
        <v>0</v>
      </c>
      <c r="J16" s="57">
        <f>'Tabla de Posiciones'!Y9</f>
        <v>0</v>
      </c>
      <c r="K16" s="96">
        <f>IF(C16="Inter de Cartagena",'Tabla de Posiciones'!Z9+1,IF(C16="Mate Bolivar FC",'Tabla de Posiciones'!Z9+0.75,IF(C16="Palmo FC",'Tabla de Posiciones'!Z9+0.5,IF(C16="Los Amigos",'Tabla de Posiciones'!Z9+0.25,'Tabla de Posiciones'!Z9))))</f>
        <v>0</v>
      </c>
      <c r="L16" s="96">
        <f t="shared" si="5"/>
        <v>0</v>
      </c>
      <c r="M16" s="56">
        <v>200</v>
      </c>
      <c r="N16" s="58">
        <f t="shared" si="1"/>
        <v>-2000016</v>
      </c>
      <c r="Q16" s="59">
        <f t="shared" si="6"/>
        <v>0</v>
      </c>
      <c r="R16" s="59">
        <f t="shared" si="7"/>
        <v>0</v>
      </c>
      <c r="S16" s="59">
        <f t="shared" si="8"/>
        <v>20000000</v>
      </c>
      <c r="T16" s="59">
        <f t="shared" si="9"/>
        <v>0</v>
      </c>
      <c r="U16" s="59">
        <f t="shared" si="2"/>
        <v>0</v>
      </c>
      <c r="V16" s="59">
        <f t="shared" si="3"/>
        <v>0</v>
      </c>
      <c r="W16" s="59">
        <f t="shared" si="4"/>
        <v>14</v>
      </c>
    </row>
    <row r="17" spans="1:23" x14ac:dyDescent="0.2">
      <c r="A17">
        <f t="shared" si="0"/>
        <v>8</v>
      </c>
      <c r="B17" s="40">
        <v>8</v>
      </c>
      <c r="C17" s="41" t="str">
        <f>'Tabla de Posiciones'!B10</f>
        <v>Clase Aparte</v>
      </c>
      <c r="D17" s="56">
        <f>'Tabla de Posiciones'!S10</f>
        <v>0</v>
      </c>
      <c r="E17" s="56">
        <f>'Tabla de Posiciones'!T10</f>
        <v>0</v>
      </c>
      <c r="F17" s="57">
        <f>'Tabla de Posiciones'!U10</f>
        <v>0</v>
      </c>
      <c r="G17" s="57">
        <f>'Tabla de Posiciones'!V10</f>
        <v>0</v>
      </c>
      <c r="H17" s="57">
        <f>'Tabla de Posiciones'!W10</f>
        <v>0</v>
      </c>
      <c r="I17" s="57">
        <f>'Tabla de Posiciones'!X10</f>
        <v>0</v>
      </c>
      <c r="J17" s="57">
        <f>'Tabla de Posiciones'!Y10</f>
        <v>0</v>
      </c>
      <c r="K17" s="96">
        <f>IF(C17="Inter de Cartagena",'Tabla de Posiciones'!Z10+1,IF(C17="Mate Bolivar FC",'Tabla de Posiciones'!Z10+0.75,IF(C17="Palmo FC",'Tabla de Posiciones'!Z10+0.5,IF(C17="Los Amigos",'Tabla de Posiciones'!Z10+0.25,'Tabla de Posiciones'!Z10))))</f>
        <v>0</v>
      </c>
      <c r="L17" s="96">
        <f t="shared" si="5"/>
        <v>0</v>
      </c>
      <c r="M17" s="56">
        <v>260</v>
      </c>
      <c r="N17" s="58">
        <f t="shared" si="1"/>
        <v>-2000017</v>
      </c>
      <c r="Q17" s="59">
        <f t="shared" si="6"/>
        <v>0</v>
      </c>
      <c r="R17" s="59">
        <f t="shared" si="7"/>
        <v>0</v>
      </c>
      <c r="S17" s="59">
        <f t="shared" si="8"/>
        <v>26000000</v>
      </c>
      <c r="T17" s="59">
        <f t="shared" si="9"/>
        <v>0</v>
      </c>
      <c r="U17" s="59">
        <f t="shared" si="2"/>
        <v>0</v>
      </c>
      <c r="V17" s="59">
        <f t="shared" si="3"/>
        <v>0</v>
      </c>
      <c r="W17" s="59">
        <f t="shared" si="4"/>
        <v>13</v>
      </c>
    </row>
    <row r="18" spans="1:23" x14ac:dyDescent="0.2">
      <c r="A18">
        <f t="shared" si="0"/>
        <v>9</v>
      </c>
      <c r="B18" s="42">
        <v>9</v>
      </c>
      <c r="C18" s="41" t="str">
        <f>'Tabla de Posiciones'!B11</f>
        <v>Heroicos</v>
      </c>
      <c r="D18" s="56">
        <f>'Tabla de Posiciones'!S11</f>
        <v>0</v>
      </c>
      <c r="E18" s="56">
        <f>'Tabla de Posiciones'!T11</f>
        <v>0</v>
      </c>
      <c r="F18" s="57">
        <f>'Tabla de Posiciones'!U11</f>
        <v>0</v>
      </c>
      <c r="G18" s="57">
        <f>'Tabla de Posiciones'!V11</f>
        <v>0</v>
      </c>
      <c r="H18" s="57">
        <f>'Tabla de Posiciones'!W11</f>
        <v>0</v>
      </c>
      <c r="I18" s="57">
        <f>'Tabla de Posiciones'!X11</f>
        <v>0</v>
      </c>
      <c r="J18" s="57">
        <f>'Tabla de Posiciones'!Y11</f>
        <v>0</v>
      </c>
      <c r="K18" s="96">
        <f>IF(C18="Inter de Cartagena",'Tabla de Posiciones'!Z11+1,IF(C18="Mate Bolivar FC",'Tabla de Posiciones'!Z11+0.75,IF(C18="Palmo FC",'Tabla de Posiciones'!Z11+0.5,IF(C18="Los Amigos",'Tabla de Posiciones'!Z11+0.25,'Tabla de Posiciones'!Z11))))</f>
        <v>0</v>
      </c>
      <c r="L18" s="96">
        <f t="shared" si="5"/>
        <v>0</v>
      </c>
      <c r="M18" s="56">
        <v>160</v>
      </c>
      <c r="N18" s="58">
        <f t="shared" si="1"/>
        <v>-2000018</v>
      </c>
      <c r="Q18" s="59">
        <f t="shared" si="6"/>
        <v>0</v>
      </c>
      <c r="R18" s="59">
        <f t="shared" si="7"/>
        <v>0</v>
      </c>
      <c r="S18" s="59">
        <f t="shared" si="8"/>
        <v>16000000</v>
      </c>
      <c r="T18" s="59">
        <f t="shared" si="9"/>
        <v>0</v>
      </c>
      <c r="U18" s="59">
        <f t="shared" si="2"/>
        <v>0</v>
      </c>
      <c r="V18" s="59">
        <f t="shared" si="3"/>
        <v>0</v>
      </c>
      <c r="W18" s="59">
        <f t="shared" si="4"/>
        <v>12</v>
      </c>
    </row>
    <row r="19" spans="1:23" x14ac:dyDescent="0.2">
      <c r="M19">
        <f>SUM(M10:M18)</f>
        <v>2790</v>
      </c>
    </row>
    <row r="21" spans="1:23" x14ac:dyDescent="0.2">
      <c r="N21" t="s">
        <v>66</v>
      </c>
    </row>
  </sheetData>
  <mergeCells count="3">
    <mergeCell ref="B4:M7"/>
    <mergeCell ref="B8:C8"/>
    <mergeCell ref="D8:M8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Q53"/>
  <sheetViews>
    <sheetView workbookViewId="0">
      <pane xSplit="2" ySplit="2" topLeftCell="C3" activePane="bottomRight" state="frozen"/>
      <selection activeCell="E25" sqref="E25"/>
      <selection pane="topRight" activeCell="E25" sqref="E25"/>
      <selection pane="bottomLeft" activeCell="E25" sqref="E25"/>
      <selection pane="bottomRight" activeCell="E76" sqref="E76"/>
    </sheetView>
  </sheetViews>
  <sheetFormatPr defaultColWidth="11.42578125" defaultRowHeight="12.75" x14ac:dyDescent="0.2"/>
  <cols>
    <col min="1" max="1" width="3.140625" style="2" bestFit="1" customWidth="1"/>
    <col min="2" max="2" width="19.140625" style="18" bestFit="1" customWidth="1"/>
    <col min="3" max="4" width="11.42578125" style="2"/>
    <col min="5" max="11" width="11.42578125" style="2" customWidth="1"/>
    <col min="12" max="22" width="11.42578125" style="2" hidden="1" customWidth="1"/>
    <col min="23" max="43" width="9.140625" style="2" hidden="1" customWidth="1"/>
    <col min="44" max="135" width="9.140625" style="2" customWidth="1"/>
    <col min="136" max="16384" width="11.42578125" style="2"/>
  </cols>
  <sheetData>
    <row r="1" spans="1:42" x14ac:dyDescent="0.2">
      <c r="C1" s="124" t="s">
        <v>14</v>
      </c>
      <c r="D1" s="125"/>
      <c r="E1" s="125"/>
      <c r="F1" s="125"/>
      <c r="G1" s="125"/>
      <c r="H1" s="125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</row>
    <row r="2" spans="1:42" s="18" customFormat="1" x14ac:dyDescent="0.2">
      <c r="A2" s="21"/>
      <c r="B2" s="19"/>
      <c r="C2" s="22" t="str">
        <f>INDEX($B$3:$B$42,COLUMN()-2)</f>
        <v>Inter de Cartagena</v>
      </c>
      <c r="D2" s="22" t="str">
        <f t="shared" ref="D2:AP2" si="0">INDEX($B$3:$B$42,COLUMN()-2)</f>
        <v>Mate Bolivar FC</v>
      </c>
      <c r="E2" s="22" t="str">
        <f t="shared" si="0"/>
        <v>Palmo Fc</v>
      </c>
      <c r="F2" s="22" t="str">
        <f t="shared" si="0"/>
        <v>Los Amigos</v>
      </c>
      <c r="G2" s="22" t="str">
        <f t="shared" si="0"/>
        <v>Zamba</v>
      </c>
      <c r="H2" s="22" t="str">
        <f t="shared" si="0"/>
        <v>Colonia Carmera</v>
      </c>
      <c r="I2" s="22" t="str">
        <f t="shared" si="0"/>
        <v>Familia Real</v>
      </c>
      <c r="J2" s="22" t="str">
        <f t="shared" si="0"/>
        <v>Clase Aparte</v>
      </c>
      <c r="K2" s="22" t="str">
        <f t="shared" si="0"/>
        <v>Heroicos</v>
      </c>
      <c r="L2" s="22">
        <f t="shared" si="0"/>
        <v>0</v>
      </c>
      <c r="M2" s="22">
        <f t="shared" si="0"/>
        <v>0</v>
      </c>
      <c r="N2" s="22">
        <f t="shared" si="0"/>
        <v>0</v>
      </c>
      <c r="O2" s="22">
        <f t="shared" si="0"/>
        <v>0</v>
      </c>
      <c r="P2" s="22">
        <f t="shared" si="0"/>
        <v>0</v>
      </c>
      <c r="Q2" s="22">
        <f t="shared" si="0"/>
        <v>0</v>
      </c>
      <c r="R2" s="48">
        <f t="shared" si="0"/>
        <v>0</v>
      </c>
      <c r="S2" s="22">
        <f t="shared" si="0"/>
        <v>0</v>
      </c>
      <c r="T2" s="22">
        <f t="shared" si="0"/>
        <v>0</v>
      </c>
      <c r="U2" s="22">
        <f t="shared" si="0"/>
        <v>0</v>
      </c>
      <c r="V2" s="22">
        <f t="shared" si="0"/>
        <v>0</v>
      </c>
      <c r="W2" s="22">
        <f t="shared" si="0"/>
        <v>0</v>
      </c>
      <c r="X2" s="22">
        <f t="shared" si="0"/>
        <v>0</v>
      </c>
      <c r="Y2" s="22">
        <f t="shared" si="0"/>
        <v>0</v>
      </c>
      <c r="Z2" s="22">
        <f t="shared" si="0"/>
        <v>0</v>
      </c>
      <c r="AA2" s="22" t="str">
        <f t="shared" si="0"/>
        <v>Equipo 25</v>
      </c>
      <c r="AB2" s="22" t="str">
        <f t="shared" si="0"/>
        <v>Equipo 26</v>
      </c>
      <c r="AC2" s="22" t="str">
        <f t="shared" si="0"/>
        <v>Equipo 27</v>
      </c>
      <c r="AD2" s="22" t="str">
        <f t="shared" si="0"/>
        <v>Equipo 28</v>
      </c>
      <c r="AE2" s="22" t="str">
        <f t="shared" si="0"/>
        <v>Equipo 29</v>
      </c>
      <c r="AF2" s="22" t="str">
        <f t="shared" si="0"/>
        <v>Equipo 30</v>
      </c>
      <c r="AG2" s="22" t="str">
        <f t="shared" si="0"/>
        <v>Equipo 31</v>
      </c>
      <c r="AH2" s="22" t="str">
        <f t="shared" si="0"/>
        <v>Equipo 32</v>
      </c>
      <c r="AI2" s="22" t="str">
        <f t="shared" si="0"/>
        <v>Equipo 33</v>
      </c>
      <c r="AJ2" s="22" t="str">
        <f t="shared" si="0"/>
        <v>Equipo 34</v>
      </c>
      <c r="AK2" s="22" t="str">
        <f t="shared" si="0"/>
        <v>Equipo 35</v>
      </c>
      <c r="AL2" s="22" t="str">
        <f t="shared" si="0"/>
        <v>Equipo 36</v>
      </c>
      <c r="AM2" s="22" t="str">
        <f t="shared" si="0"/>
        <v>Equipo 37</v>
      </c>
      <c r="AN2" s="22" t="str">
        <f t="shared" si="0"/>
        <v>Equipo 38</v>
      </c>
      <c r="AO2" s="22" t="str">
        <f t="shared" si="0"/>
        <v>Equipo 39</v>
      </c>
      <c r="AP2" s="22" t="str">
        <f t="shared" si="0"/>
        <v>Equipo 40</v>
      </c>
    </row>
    <row r="3" spans="1:42" ht="12.75" customHeight="1" x14ac:dyDescent="0.2">
      <c r="A3" s="122" t="s">
        <v>13</v>
      </c>
      <c r="B3" s="20" t="str">
        <f>Parametros!D2</f>
        <v>Inter de Cartagena</v>
      </c>
      <c r="C3" s="23"/>
      <c r="D3" s="23"/>
      <c r="E3" s="23"/>
      <c r="F3" s="23"/>
      <c r="G3" s="23"/>
      <c r="H3" s="37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</row>
    <row r="4" spans="1:42" x14ac:dyDescent="0.2">
      <c r="A4" s="123"/>
      <c r="B4" s="20" t="str">
        <f>Parametros!D3</f>
        <v>Mate Bolivar FC</v>
      </c>
      <c r="C4" s="34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</row>
    <row r="5" spans="1:42" x14ac:dyDescent="0.2">
      <c r="A5" s="123"/>
      <c r="B5" s="20" t="str">
        <f>Parametros!D4</f>
        <v>Palmo Fc</v>
      </c>
      <c r="C5" s="34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</row>
    <row r="6" spans="1:42" x14ac:dyDescent="0.2">
      <c r="A6" s="123"/>
      <c r="B6" s="20" t="str">
        <f>Parametros!D5</f>
        <v>Los Amigos</v>
      </c>
      <c r="C6" s="34"/>
      <c r="D6" s="23"/>
      <c r="E6" s="35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</row>
    <row r="7" spans="1:42" x14ac:dyDescent="0.2">
      <c r="A7" s="123"/>
      <c r="B7" s="20" t="str">
        <f>Parametros!D6</f>
        <v>Zamba</v>
      </c>
      <c r="C7" s="34"/>
      <c r="D7" s="23"/>
      <c r="E7" s="35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</row>
    <row r="8" spans="1:42" x14ac:dyDescent="0.2">
      <c r="A8" s="123"/>
      <c r="B8" s="20" t="str">
        <f>Parametros!D7</f>
        <v>Colonia Carmera</v>
      </c>
      <c r="C8" s="34"/>
      <c r="D8" s="23"/>
      <c r="E8" s="35"/>
      <c r="F8" s="23"/>
      <c r="G8" s="36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2" x14ac:dyDescent="0.2">
      <c r="A9" s="30"/>
      <c r="B9" s="20" t="str">
        <f>Parametros!D8</f>
        <v>Familia Real</v>
      </c>
      <c r="C9" s="34"/>
      <c r="D9" s="23"/>
      <c r="E9" s="35"/>
      <c r="F9" s="23"/>
      <c r="G9" s="36"/>
      <c r="H9" s="35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2" x14ac:dyDescent="0.2">
      <c r="A10" s="30"/>
      <c r="B10" s="20" t="str">
        <f>Parametros!D9</f>
        <v>Clase Aparte</v>
      </c>
      <c r="C10" s="34"/>
      <c r="D10" s="23"/>
      <c r="E10" s="35"/>
      <c r="F10" s="23"/>
      <c r="G10" s="35"/>
      <c r="H10" s="35"/>
      <c r="I10" s="23"/>
      <c r="J10" s="23"/>
      <c r="K10" s="23"/>
      <c r="L10" s="36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2" x14ac:dyDescent="0.2">
      <c r="A11" s="30"/>
      <c r="B11" s="20" t="str">
        <f>Parametros!D10</f>
        <v>Heroicos</v>
      </c>
      <c r="C11" s="34"/>
      <c r="D11" s="35"/>
      <c r="E11" s="35"/>
      <c r="F11" s="35"/>
      <c r="G11" s="35"/>
      <c r="H11" s="35"/>
      <c r="I11" s="35"/>
      <c r="J11" s="35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2" hidden="1" x14ac:dyDescent="0.2">
      <c r="A12" s="30"/>
      <c r="B12" s="20">
        <f>Parametros!D11</f>
        <v>0</v>
      </c>
      <c r="C12" s="35"/>
      <c r="D12" s="35"/>
      <c r="E12" s="35"/>
      <c r="F12" s="36"/>
      <c r="G12" s="35"/>
      <c r="H12" s="36"/>
      <c r="I12" s="23"/>
      <c r="J12" s="36"/>
      <c r="K12" s="35"/>
      <c r="L12" s="35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2" hidden="1" x14ac:dyDescent="0.2">
      <c r="A13" s="30"/>
      <c r="B13" s="20">
        <f>Parametros!D12</f>
        <v>0</v>
      </c>
      <c r="C13" s="35"/>
      <c r="D13" s="35"/>
      <c r="E13" s="35"/>
      <c r="F13" s="35"/>
      <c r="G13" s="35"/>
      <c r="H13" s="35"/>
      <c r="I13" s="36"/>
      <c r="J13" s="36"/>
      <c r="K13" s="36"/>
      <c r="L13" s="35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</row>
    <row r="14" spans="1:42" hidden="1" x14ac:dyDescent="0.2">
      <c r="A14" s="30"/>
      <c r="B14" s="20">
        <f>Parametros!D13</f>
        <v>0</v>
      </c>
      <c r="C14" s="35"/>
      <c r="D14" s="35"/>
      <c r="E14" s="35"/>
      <c r="F14" s="35"/>
      <c r="G14" s="35"/>
      <c r="H14" s="35"/>
      <c r="I14" s="35"/>
      <c r="J14" s="36"/>
      <c r="K14" s="35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</row>
    <row r="15" spans="1:42" hidden="1" x14ac:dyDescent="0.2">
      <c r="A15" s="30"/>
      <c r="B15" s="20">
        <f>Parametros!D14</f>
        <v>0</v>
      </c>
      <c r="C15" s="36"/>
      <c r="D15" s="35"/>
      <c r="E15" s="35"/>
      <c r="F15" s="35"/>
      <c r="G15" s="35"/>
      <c r="H15" s="35"/>
      <c r="I15" s="36"/>
      <c r="J15" s="35"/>
      <c r="K15" s="35"/>
      <c r="L15" s="23"/>
      <c r="M15" s="36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</row>
    <row r="16" spans="1:42" hidden="1" x14ac:dyDescent="0.2">
      <c r="A16" s="30"/>
      <c r="B16" s="20">
        <f>Parametros!D15</f>
        <v>0</v>
      </c>
      <c r="C16" s="35"/>
      <c r="D16" s="35"/>
      <c r="E16" s="35"/>
      <c r="F16" s="35"/>
      <c r="G16" s="35"/>
      <c r="H16" s="35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</row>
    <row r="17" spans="1:42" hidden="1" x14ac:dyDescent="0.2">
      <c r="A17" s="30"/>
      <c r="B17" s="20">
        <f>Parametros!D16</f>
        <v>0</v>
      </c>
      <c r="C17" s="35"/>
      <c r="D17" s="35"/>
      <c r="E17" s="34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</row>
    <row r="18" spans="1:42" hidden="1" x14ac:dyDescent="0.2">
      <c r="A18" s="30"/>
      <c r="B18" s="20">
        <f>Parametros!D17</f>
        <v>0</v>
      </c>
      <c r="C18" s="36"/>
      <c r="D18" s="35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35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</row>
    <row r="19" spans="1:42" hidden="1" x14ac:dyDescent="0.2">
      <c r="A19" s="30"/>
      <c r="B19" s="20">
        <f>Parametros!D18</f>
        <v>0</v>
      </c>
      <c r="C19" s="35"/>
      <c r="D19" s="35"/>
      <c r="E19" s="34"/>
      <c r="F19" s="23"/>
      <c r="G19" s="23"/>
      <c r="H19" s="23"/>
      <c r="I19" s="23"/>
      <c r="J19" s="23"/>
      <c r="K19" s="23"/>
      <c r="L19" s="23"/>
      <c r="M19" s="34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</row>
    <row r="20" spans="1:42" hidden="1" x14ac:dyDescent="0.2">
      <c r="A20" s="30"/>
      <c r="B20" s="20">
        <f>Parametros!D19</f>
        <v>0</v>
      </c>
      <c r="C20" s="36"/>
      <c r="D20" s="36"/>
      <c r="E20" s="34"/>
      <c r="F20" s="34"/>
      <c r="G20" s="23"/>
      <c r="H20" s="23"/>
      <c r="I20" s="23"/>
      <c r="J20" s="34"/>
      <c r="K20" s="23"/>
      <c r="L20" s="23"/>
      <c r="M20" s="34"/>
      <c r="N20" s="23"/>
      <c r="O20" s="23"/>
      <c r="P20" s="34"/>
      <c r="Q20" s="36"/>
      <c r="R20" s="36"/>
      <c r="S20" s="34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</row>
    <row r="21" spans="1:42" hidden="1" x14ac:dyDescent="0.2">
      <c r="A21" s="30"/>
      <c r="B21" s="20">
        <f>Parametros!D20</f>
        <v>0</v>
      </c>
      <c r="C21" s="35"/>
      <c r="D21" s="35"/>
      <c r="E21" s="34"/>
      <c r="F21" s="35"/>
      <c r="G21" s="23"/>
      <c r="H21" s="23"/>
      <c r="I21" s="23"/>
      <c r="J21" s="23"/>
      <c r="K21" s="23"/>
      <c r="L21" s="23"/>
      <c r="M21" s="23"/>
      <c r="N21" s="23"/>
      <c r="O21" s="34"/>
      <c r="P21" s="23"/>
      <c r="Q21" s="36"/>
      <c r="R21" s="35"/>
      <c r="S21" s="23"/>
      <c r="T21" s="34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</row>
    <row r="22" spans="1:42" hidden="1" x14ac:dyDescent="0.2">
      <c r="A22" s="30"/>
      <c r="B22" s="20">
        <f>Parametros!D21</f>
        <v>0</v>
      </c>
      <c r="C22" s="35"/>
      <c r="D22" s="36"/>
      <c r="E22" s="23"/>
      <c r="F22" s="23"/>
      <c r="G22" s="23"/>
      <c r="H22" s="23"/>
      <c r="I22" s="23"/>
      <c r="J22" s="23"/>
      <c r="K22" s="23"/>
      <c r="L22" s="23"/>
      <c r="M22" s="23"/>
      <c r="N22" s="97"/>
      <c r="O22" s="23"/>
      <c r="P22" s="23"/>
      <c r="Q22" s="35"/>
      <c r="R22" s="36"/>
      <c r="S22" s="23"/>
      <c r="T22" s="34"/>
      <c r="U22" s="35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</row>
    <row r="23" spans="1:42" hidden="1" x14ac:dyDescent="0.2">
      <c r="B23" s="20">
        <f>Parametros!D22</f>
        <v>0</v>
      </c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35"/>
      <c r="R23" s="35"/>
      <c r="S23" s="23"/>
      <c r="T23" s="34"/>
      <c r="U23" s="36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</row>
    <row r="24" spans="1:42" hidden="1" x14ac:dyDescent="0.2">
      <c r="B24" s="20">
        <f>Parametros!D23</f>
        <v>0</v>
      </c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34"/>
      <c r="U24" s="35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</row>
    <row r="25" spans="1:42" hidden="1" x14ac:dyDescent="0.2">
      <c r="B25" s="20">
        <f>Parametros!D24</f>
        <v>0</v>
      </c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34"/>
      <c r="U25" s="35"/>
      <c r="V25" s="23"/>
      <c r="W25" s="35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</row>
    <row r="26" spans="1:42" hidden="1" x14ac:dyDescent="0.2">
      <c r="B26" s="20">
        <f>Parametros!D25</f>
        <v>0</v>
      </c>
      <c r="C26" s="34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34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</row>
    <row r="27" spans="1:42" hidden="1" x14ac:dyDescent="0.2">
      <c r="B27" s="20" t="str">
        <f>Parametros!D26</f>
        <v>Equipo 25</v>
      </c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</row>
    <row r="28" spans="1:42" hidden="1" x14ac:dyDescent="0.2">
      <c r="B28" s="20" t="str">
        <f>Parametros!D27</f>
        <v>Equipo 26</v>
      </c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</row>
    <row r="29" spans="1:42" hidden="1" x14ac:dyDescent="0.2">
      <c r="B29" s="20" t="str">
        <f>Parametros!D28</f>
        <v>Equipo 27</v>
      </c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</row>
    <row r="30" spans="1:42" hidden="1" x14ac:dyDescent="0.2">
      <c r="B30" s="20" t="str">
        <f>Parametros!D29</f>
        <v>Equipo 28</v>
      </c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</row>
    <row r="31" spans="1:42" hidden="1" x14ac:dyDescent="0.2">
      <c r="B31" s="20" t="str">
        <f>Parametros!D30</f>
        <v>Equipo 29</v>
      </c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</row>
    <row r="32" spans="1:42" hidden="1" x14ac:dyDescent="0.2">
      <c r="B32" s="20" t="str">
        <f>Parametros!D31</f>
        <v>Equipo 30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</row>
    <row r="33" spans="2:43" hidden="1" x14ac:dyDescent="0.2">
      <c r="B33" s="20" t="str">
        <f>Parametros!D32</f>
        <v>Equipo 31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</row>
    <row r="34" spans="2:43" hidden="1" x14ac:dyDescent="0.2">
      <c r="B34" s="20" t="str">
        <f>Parametros!D33</f>
        <v>Equipo 32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</row>
    <row r="35" spans="2:43" hidden="1" x14ac:dyDescent="0.2">
      <c r="B35" s="20" t="str">
        <f>Parametros!D34</f>
        <v>Equipo 33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</row>
    <row r="36" spans="2:43" hidden="1" x14ac:dyDescent="0.2">
      <c r="B36" s="20" t="str">
        <f>Parametros!D35</f>
        <v>Equipo 34</v>
      </c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</row>
    <row r="37" spans="2:43" hidden="1" x14ac:dyDescent="0.2">
      <c r="B37" s="20" t="str">
        <f>Parametros!D36</f>
        <v>Equipo 35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</row>
    <row r="38" spans="2:43" hidden="1" x14ac:dyDescent="0.2">
      <c r="B38" s="20" t="str">
        <f>Parametros!D37</f>
        <v>Equipo 36</v>
      </c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</row>
    <row r="39" spans="2:43" hidden="1" x14ac:dyDescent="0.2">
      <c r="B39" s="20" t="str">
        <f>Parametros!D38</f>
        <v>Equipo 37</v>
      </c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</row>
    <row r="40" spans="2:43" hidden="1" x14ac:dyDescent="0.2">
      <c r="B40" s="20" t="str">
        <f>Parametros!D39</f>
        <v>Equipo 38</v>
      </c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</row>
    <row r="41" spans="2:43" hidden="1" x14ac:dyDescent="0.2">
      <c r="B41" s="20" t="str">
        <f>Parametros!D40</f>
        <v>Equipo 39</v>
      </c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</row>
    <row r="42" spans="2:43" hidden="1" x14ac:dyDescent="0.2">
      <c r="B42" s="20" t="str">
        <f>Parametros!D41</f>
        <v>Equipo 40</v>
      </c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</row>
    <row r="43" spans="2:43" hidden="1" x14ac:dyDescent="0.2"/>
    <row r="47" spans="2:43" x14ac:dyDescent="0.2"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 t="str">
        <f t="shared" ref="Y47:AQ53" ca="1" si="1">INT(RAND()*5)&amp;"-"&amp;INT(RAND()*5)</f>
        <v>3-4</v>
      </c>
      <c r="Z47" t="str">
        <f t="shared" ca="1" si="1"/>
        <v>1-1</v>
      </c>
      <c r="AA47" t="str">
        <f t="shared" ca="1" si="1"/>
        <v>0-1</v>
      </c>
      <c r="AB47" t="str">
        <f t="shared" ca="1" si="1"/>
        <v>0-1</v>
      </c>
      <c r="AC47" t="str">
        <f t="shared" ca="1" si="1"/>
        <v>4-1</v>
      </c>
      <c r="AD47" t="str">
        <f t="shared" ca="1" si="1"/>
        <v>3-3</v>
      </c>
      <c r="AE47" t="str">
        <f t="shared" ca="1" si="1"/>
        <v>1-4</v>
      </c>
      <c r="AF47" t="str">
        <f t="shared" ca="1" si="1"/>
        <v>3-2</v>
      </c>
      <c r="AG47" t="str">
        <f t="shared" ca="1" si="1"/>
        <v>4-0</v>
      </c>
      <c r="AH47" t="str">
        <f t="shared" ca="1" si="1"/>
        <v>3-4</v>
      </c>
      <c r="AI47" t="str">
        <f t="shared" ca="1" si="1"/>
        <v>2-4</v>
      </c>
      <c r="AJ47" t="str">
        <f t="shared" ca="1" si="1"/>
        <v>0-4</v>
      </c>
      <c r="AK47" t="str">
        <f t="shared" ca="1" si="1"/>
        <v>1-0</v>
      </c>
      <c r="AL47" t="str">
        <f t="shared" ca="1" si="1"/>
        <v>3-1</v>
      </c>
      <c r="AM47" t="str">
        <f t="shared" ca="1" si="1"/>
        <v>2-0</v>
      </c>
      <c r="AN47" t="str">
        <f t="shared" ca="1" si="1"/>
        <v>0-4</v>
      </c>
      <c r="AO47" t="str">
        <f t="shared" ca="1" si="1"/>
        <v>4-1</v>
      </c>
      <c r="AP47" t="str">
        <f t="shared" ca="1" si="1"/>
        <v>4-1</v>
      </c>
      <c r="AQ47" t="str">
        <f t="shared" ca="1" si="1"/>
        <v>3-0</v>
      </c>
    </row>
    <row r="48" spans="2:43" x14ac:dyDescent="0.2"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 t="str">
        <f t="shared" ca="1" si="1"/>
        <v>3-0</v>
      </c>
      <c r="Z48" t="str">
        <f t="shared" ca="1" si="1"/>
        <v>4-0</v>
      </c>
      <c r="AA48" t="str">
        <f t="shared" ca="1" si="1"/>
        <v>0-3</v>
      </c>
      <c r="AB48" t="str">
        <f t="shared" ca="1" si="1"/>
        <v>3-3</v>
      </c>
      <c r="AC48" t="str">
        <f t="shared" ca="1" si="1"/>
        <v>2-4</v>
      </c>
      <c r="AD48" t="str">
        <f t="shared" ca="1" si="1"/>
        <v>2-2</v>
      </c>
      <c r="AE48" t="str">
        <f t="shared" ca="1" si="1"/>
        <v>2-1</v>
      </c>
      <c r="AF48" t="str">
        <f t="shared" ca="1" si="1"/>
        <v>2-2</v>
      </c>
      <c r="AG48" t="str">
        <f t="shared" ca="1" si="1"/>
        <v>0-0</v>
      </c>
      <c r="AH48" t="str">
        <f t="shared" ca="1" si="1"/>
        <v>2-4</v>
      </c>
      <c r="AI48" t="str">
        <f t="shared" ca="1" si="1"/>
        <v>1-4</v>
      </c>
      <c r="AJ48" t="str">
        <f t="shared" ca="1" si="1"/>
        <v>3-1</v>
      </c>
      <c r="AK48" t="str">
        <f t="shared" ca="1" si="1"/>
        <v>4-1</v>
      </c>
      <c r="AL48" t="str">
        <f t="shared" ca="1" si="1"/>
        <v>0-3</v>
      </c>
      <c r="AM48" t="str">
        <f t="shared" ca="1" si="1"/>
        <v>2-0</v>
      </c>
      <c r="AN48" t="str">
        <f t="shared" ca="1" si="1"/>
        <v>4-4</v>
      </c>
      <c r="AO48" t="str">
        <f t="shared" ca="1" si="1"/>
        <v>4-0</v>
      </c>
      <c r="AP48" t="str">
        <f t="shared" ca="1" si="1"/>
        <v>2-4</v>
      </c>
      <c r="AQ48" t="str">
        <f t="shared" ca="1" si="1"/>
        <v>1-2</v>
      </c>
    </row>
    <row r="49" spans="3:43" x14ac:dyDescent="0.2"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 t="str">
        <f t="shared" ca="1" si="1"/>
        <v>4-2</v>
      </c>
      <c r="Z49" t="str">
        <f t="shared" ca="1" si="1"/>
        <v>1-0</v>
      </c>
      <c r="AA49" t="str">
        <f t="shared" ca="1" si="1"/>
        <v>2-3</v>
      </c>
      <c r="AB49" t="str">
        <f t="shared" ca="1" si="1"/>
        <v>1-3</v>
      </c>
      <c r="AC49" t="str">
        <f t="shared" ca="1" si="1"/>
        <v>0-0</v>
      </c>
      <c r="AD49" t="str">
        <f t="shared" ca="1" si="1"/>
        <v>2-4</v>
      </c>
      <c r="AE49" t="str">
        <f t="shared" ca="1" si="1"/>
        <v>4-3</v>
      </c>
      <c r="AF49" t="str">
        <f t="shared" ca="1" si="1"/>
        <v>3-0</v>
      </c>
      <c r="AG49" t="str">
        <f t="shared" ca="1" si="1"/>
        <v>1-0</v>
      </c>
      <c r="AH49" t="str">
        <f t="shared" ca="1" si="1"/>
        <v>3-1</v>
      </c>
      <c r="AI49" t="str">
        <f t="shared" ca="1" si="1"/>
        <v>1-2</v>
      </c>
      <c r="AJ49" t="str">
        <f t="shared" ca="1" si="1"/>
        <v>1-3</v>
      </c>
      <c r="AK49" t="str">
        <f t="shared" ca="1" si="1"/>
        <v>2-4</v>
      </c>
      <c r="AL49" t="str">
        <f t="shared" ca="1" si="1"/>
        <v>3-0</v>
      </c>
      <c r="AM49" t="str">
        <f t="shared" ca="1" si="1"/>
        <v>4-3</v>
      </c>
      <c r="AN49" t="str">
        <f t="shared" ca="1" si="1"/>
        <v>3-1</v>
      </c>
      <c r="AO49" t="str">
        <f t="shared" ca="1" si="1"/>
        <v>1-4</v>
      </c>
      <c r="AP49" t="str">
        <f t="shared" ca="1" si="1"/>
        <v>3-1</v>
      </c>
      <c r="AQ49" t="str">
        <f t="shared" ca="1" si="1"/>
        <v>4-3</v>
      </c>
    </row>
    <row r="50" spans="3:43" x14ac:dyDescent="0.2"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 t="str">
        <f t="shared" ca="1" si="1"/>
        <v>3-4</v>
      </c>
      <c r="Z50" t="str">
        <f t="shared" ca="1" si="1"/>
        <v>0-3</v>
      </c>
      <c r="AA50" t="str">
        <f t="shared" ca="1" si="1"/>
        <v>3-1</v>
      </c>
      <c r="AB50" t="str">
        <f t="shared" ca="1" si="1"/>
        <v>2-2</v>
      </c>
      <c r="AC50" t="str">
        <f t="shared" ca="1" si="1"/>
        <v>3-3</v>
      </c>
      <c r="AD50" t="str">
        <f t="shared" ca="1" si="1"/>
        <v>4-1</v>
      </c>
      <c r="AE50" t="str">
        <f t="shared" ca="1" si="1"/>
        <v>2-3</v>
      </c>
      <c r="AF50" t="str">
        <f t="shared" ca="1" si="1"/>
        <v>2-4</v>
      </c>
      <c r="AG50" t="str">
        <f t="shared" ca="1" si="1"/>
        <v>1-1</v>
      </c>
      <c r="AH50" t="str">
        <f t="shared" ca="1" si="1"/>
        <v>0-3</v>
      </c>
      <c r="AI50" t="str">
        <f t="shared" ca="1" si="1"/>
        <v>2-2</v>
      </c>
      <c r="AJ50" t="str">
        <f t="shared" ca="1" si="1"/>
        <v>0-0</v>
      </c>
      <c r="AK50" t="str">
        <f t="shared" ca="1" si="1"/>
        <v>1-4</v>
      </c>
      <c r="AL50" t="str">
        <f t="shared" ca="1" si="1"/>
        <v>3-0</v>
      </c>
      <c r="AM50" t="str">
        <f t="shared" ca="1" si="1"/>
        <v>0-4</v>
      </c>
      <c r="AN50" t="str">
        <f t="shared" ca="1" si="1"/>
        <v>0-3</v>
      </c>
      <c r="AO50" t="str">
        <f t="shared" ca="1" si="1"/>
        <v>0-1</v>
      </c>
      <c r="AP50" t="str">
        <f t="shared" ca="1" si="1"/>
        <v>2-0</v>
      </c>
      <c r="AQ50" t="str">
        <f t="shared" ca="1" si="1"/>
        <v>2-0</v>
      </c>
    </row>
    <row r="51" spans="3:43" x14ac:dyDescent="0.2"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 t="str">
        <f t="shared" ca="1" si="1"/>
        <v>0-1</v>
      </c>
      <c r="Z51" t="str">
        <f t="shared" ca="1" si="1"/>
        <v>4-3</v>
      </c>
      <c r="AA51" t="str">
        <f t="shared" ca="1" si="1"/>
        <v>4-3</v>
      </c>
      <c r="AB51" t="str">
        <f t="shared" ca="1" si="1"/>
        <v>2-1</v>
      </c>
      <c r="AC51" t="str">
        <f t="shared" ca="1" si="1"/>
        <v>4-2</v>
      </c>
      <c r="AD51" t="str">
        <f t="shared" ca="1" si="1"/>
        <v>0-1</v>
      </c>
      <c r="AE51" t="str">
        <f t="shared" ca="1" si="1"/>
        <v>4-1</v>
      </c>
      <c r="AF51" t="str">
        <f t="shared" ca="1" si="1"/>
        <v>1-2</v>
      </c>
      <c r="AG51" t="str">
        <f t="shared" ca="1" si="1"/>
        <v>3-3</v>
      </c>
      <c r="AH51" t="str">
        <f t="shared" ca="1" si="1"/>
        <v>1-3</v>
      </c>
      <c r="AI51" t="str">
        <f t="shared" ca="1" si="1"/>
        <v>0-1</v>
      </c>
      <c r="AJ51" t="str">
        <f t="shared" ca="1" si="1"/>
        <v>4-2</v>
      </c>
      <c r="AK51" t="str">
        <f t="shared" ca="1" si="1"/>
        <v>1-3</v>
      </c>
      <c r="AL51" t="str">
        <f t="shared" ca="1" si="1"/>
        <v>4-2</v>
      </c>
      <c r="AM51" t="str">
        <f t="shared" ca="1" si="1"/>
        <v>1-2</v>
      </c>
      <c r="AN51" t="str">
        <f t="shared" ca="1" si="1"/>
        <v>0-1</v>
      </c>
      <c r="AO51" t="str">
        <f t="shared" ca="1" si="1"/>
        <v>1-1</v>
      </c>
      <c r="AP51" t="str">
        <f t="shared" ca="1" si="1"/>
        <v>0-1</v>
      </c>
      <c r="AQ51" t="str">
        <f t="shared" ca="1" si="1"/>
        <v>4-0</v>
      </c>
    </row>
    <row r="52" spans="3:43" x14ac:dyDescent="0.2"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 t="str">
        <f t="shared" ca="1" si="1"/>
        <v>3-1</v>
      </c>
      <c r="Z52" t="str">
        <f t="shared" ca="1" si="1"/>
        <v>1-0</v>
      </c>
      <c r="AA52" t="str">
        <f t="shared" ca="1" si="1"/>
        <v>3-0</v>
      </c>
      <c r="AB52" t="str">
        <f t="shared" ca="1" si="1"/>
        <v>1-4</v>
      </c>
      <c r="AC52" t="str">
        <f t="shared" ca="1" si="1"/>
        <v>3-1</v>
      </c>
      <c r="AD52" t="str">
        <f t="shared" ca="1" si="1"/>
        <v>2-4</v>
      </c>
      <c r="AE52" t="str">
        <f t="shared" ca="1" si="1"/>
        <v>4-2</v>
      </c>
      <c r="AF52" t="str">
        <f t="shared" ca="1" si="1"/>
        <v>3-2</v>
      </c>
      <c r="AG52" t="str">
        <f t="shared" ca="1" si="1"/>
        <v>1-1</v>
      </c>
      <c r="AH52" t="str">
        <f t="shared" ca="1" si="1"/>
        <v>1-3</v>
      </c>
      <c r="AI52" t="str">
        <f t="shared" ca="1" si="1"/>
        <v>3-4</v>
      </c>
      <c r="AJ52" t="str">
        <f t="shared" ca="1" si="1"/>
        <v>2-3</v>
      </c>
      <c r="AK52" t="str">
        <f t="shared" ca="1" si="1"/>
        <v>4-2</v>
      </c>
      <c r="AL52" t="str">
        <f t="shared" ca="1" si="1"/>
        <v>0-1</v>
      </c>
      <c r="AM52" t="str">
        <f t="shared" ca="1" si="1"/>
        <v>3-1</v>
      </c>
      <c r="AN52" t="str">
        <f t="shared" ca="1" si="1"/>
        <v>2-2</v>
      </c>
      <c r="AO52" t="str">
        <f t="shared" ca="1" si="1"/>
        <v>1-2</v>
      </c>
      <c r="AP52" t="str">
        <f t="shared" ca="1" si="1"/>
        <v>0-2</v>
      </c>
      <c r="AQ52" t="str">
        <f t="shared" ca="1" si="1"/>
        <v>3-0</v>
      </c>
    </row>
    <row r="53" spans="3:43" x14ac:dyDescent="0.2"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 t="str">
        <f t="shared" ca="1" si="1"/>
        <v>0-2</v>
      </c>
      <c r="Z53" t="str">
        <f t="shared" ca="1" si="1"/>
        <v>1-2</v>
      </c>
      <c r="AA53" t="str">
        <f t="shared" ca="1" si="1"/>
        <v>3-4</v>
      </c>
      <c r="AB53" t="str">
        <f t="shared" ca="1" si="1"/>
        <v>0-3</v>
      </c>
      <c r="AC53" t="str">
        <f t="shared" ca="1" si="1"/>
        <v>2-3</v>
      </c>
      <c r="AD53" t="str">
        <f t="shared" ca="1" si="1"/>
        <v>2-4</v>
      </c>
      <c r="AE53" t="str">
        <f t="shared" ca="1" si="1"/>
        <v>0-1</v>
      </c>
      <c r="AF53" t="str">
        <f t="shared" ca="1" si="1"/>
        <v>2-2</v>
      </c>
      <c r="AG53" t="str">
        <f t="shared" ca="1" si="1"/>
        <v>3-4</v>
      </c>
      <c r="AH53" t="str">
        <f t="shared" ca="1" si="1"/>
        <v>1-1</v>
      </c>
      <c r="AI53" t="str">
        <f t="shared" ca="1" si="1"/>
        <v>1-2</v>
      </c>
      <c r="AJ53" t="str">
        <f t="shared" ca="1" si="1"/>
        <v>2-4</v>
      </c>
      <c r="AK53" t="str">
        <f t="shared" ca="1" si="1"/>
        <v>3-0</v>
      </c>
      <c r="AL53" t="str">
        <f t="shared" ca="1" si="1"/>
        <v>2-2</v>
      </c>
      <c r="AM53" t="str">
        <f t="shared" ca="1" si="1"/>
        <v>1-2</v>
      </c>
      <c r="AN53" t="str">
        <f t="shared" ca="1" si="1"/>
        <v>3-2</v>
      </c>
      <c r="AO53" t="str">
        <f t="shared" ca="1" si="1"/>
        <v>0-4</v>
      </c>
      <c r="AP53" t="str">
        <f t="shared" ca="1" si="1"/>
        <v>3-2</v>
      </c>
      <c r="AQ53" t="str">
        <f t="shared" ca="1" si="1"/>
        <v>2-1</v>
      </c>
    </row>
  </sheetData>
  <mergeCells count="2">
    <mergeCell ref="A3:A8"/>
    <mergeCell ref="C1:H1"/>
  </mergeCells>
  <phoneticPr fontId="4" type="noConversion"/>
  <conditionalFormatting sqref="C23:AP42 W3:AP22">
    <cfRule type="expression" dxfId="5" priority="2" stopIfTrue="1">
      <formula>(ROW()=COLUMN())</formula>
    </cfRule>
  </conditionalFormatting>
  <conditionalFormatting sqref="C3:V22">
    <cfRule type="expression" dxfId="4" priority="1" stopIfTrue="1">
      <formula>(ROW()=COLUMN())</formula>
    </cfRule>
  </conditionalFormatting>
  <pageMargins left="0.75" right="0.75" top="1" bottom="1" header="0" footer="0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4:AD31"/>
  <sheetViews>
    <sheetView showGridLines="0" topLeftCell="A3" zoomScale="92" zoomScaleNormal="80" workbookViewId="0">
      <selection activeCell="AB14" sqref="AB14"/>
    </sheetView>
  </sheetViews>
  <sheetFormatPr defaultColWidth="11.42578125" defaultRowHeight="12.75" x14ac:dyDescent="0.2"/>
  <cols>
    <col min="1" max="1" width="5.140625" style="39" bestFit="1" customWidth="1"/>
    <col min="2" max="2" width="4.28515625" style="39" bestFit="1" customWidth="1"/>
    <col min="3" max="3" width="30.5703125" style="39" customWidth="1"/>
    <col min="4" max="8" width="4.5703125" style="39" customWidth="1"/>
    <col min="9" max="9" width="4.42578125" style="39" customWidth="1"/>
    <col min="10" max="10" width="4.5703125" style="39" customWidth="1"/>
    <col min="11" max="11" width="5.140625" style="39" bestFit="1" customWidth="1"/>
    <col min="12" max="12" width="5.5703125" style="39" customWidth="1"/>
    <col min="13" max="13" width="8.42578125" style="39" customWidth="1"/>
    <col min="14" max="14" width="11.42578125" style="39" customWidth="1"/>
    <col min="15" max="15" width="3" style="39" customWidth="1"/>
    <col min="16" max="16" width="6.42578125" style="39" customWidth="1"/>
    <col min="17" max="17" width="18.28515625" style="39" customWidth="1"/>
    <col min="18" max="18" width="5" style="39" customWidth="1"/>
    <col min="19" max="24" width="4.5703125" style="39" customWidth="1"/>
    <col min="25" max="25" width="5.140625" style="39" bestFit="1" customWidth="1"/>
    <col min="26" max="26" width="4.42578125" style="39" customWidth="1"/>
    <col min="27" max="16384" width="11.42578125" style="39"/>
  </cols>
  <sheetData>
    <row r="4" spans="1:30" ht="12.75" customHeight="1" x14ac:dyDescent="0.2">
      <c r="B4" s="105" t="s">
        <v>50</v>
      </c>
      <c r="C4" s="106"/>
      <c r="D4" s="106"/>
      <c r="E4" s="106"/>
      <c r="F4" s="106"/>
      <c r="G4" s="106"/>
      <c r="H4" s="106"/>
      <c r="I4" s="106"/>
      <c r="J4" s="106"/>
      <c r="K4" s="106"/>
      <c r="L4" s="107"/>
      <c r="M4" s="66"/>
      <c r="P4" s="105" t="s">
        <v>53</v>
      </c>
      <c r="Q4" s="106"/>
      <c r="R4" s="106"/>
      <c r="S4" s="106"/>
      <c r="T4" s="106"/>
      <c r="U4" s="106"/>
      <c r="V4" s="106"/>
      <c r="W4" s="106"/>
      <c r="X4" s="106"/>
      <c r="Y4" s="106"/>
      <c r="Z4" s="107"/>
    </row>
    <row r="5" spans="1:30" x14ac:dyDescent="0.2">
      <c r="B5" s="108"/>
      <c r="C5" s="109"/>
      <c r="D5" s="109"/>
      <c r="E5" s="109"/>
      <c r="F5" s="109"/>
      <c r="G5" s="109"/>
      <c r="H5" s="109"/>
      <c r="I5" s="109"/>
      <c r="J5" s="109"/>
      <c r="K5" s="109"/>
      <c r="L5" s="110"/>
      <c r="M5" s="66"/>
      <c r="P5" s="108"/>
      <c r="Q5" s="109"/>
      <c r="R5" s="109"/>
      <c r="S5" s="109"/>
      <c r="T5" s="109"/>
      <c r="U5" s="109"/>
      <c r="V5" s="109"/>
      <c r="W5" s="109"/>
      <c r="X5" s="109"/>
      <c r="Y5" s="109"/>
      <c r="Z5" s="110"/>
    </row>
    <row r="6" spans="1:30" x14ac:dyDescent="0.2">
      <c r="B6" s="108"/>
      <c r="C6" s="109"/>
      <c r="D6" s="109"/>
      <c r="E6" s="109"/>
      <c r="F6" s="109"/>
      <c r="G6" s="109"/>
      <c r="H6" s="109"/>
      <c r="I6" s="109"/>
      <c r="J6" s="109"/>
      <c r="K6" s="109"/>
      <c r="L6" s="110"/>
      <c r="M6" s="66"/>
      <c r="P6" s="108"/>
      <c r="Q6" s="109"/>
      <c r="R6" s="109"/>
      <c r="S6" s="109"/>
      <c r="T6" s="109"/>
      <c r="U6" s="109"/>
      <c r="V6" s="109"/>
      <c r="W6" s="109"/>
      <c r="X6" s="109"/>
      <c r="Y6" s="109"/>
      <c r="Z6" s="110"/>
    </row>
    <row r="7" spans="1:30" x14ac:dyDescent="0.2">
      <c r="B7" s="111"/>
      <c r="C7" s="112"/>
      <c r="D7" s="112"/>
      <c r="E7" s="112"/>
      <c r="F7" s="112"/>
      <c r="G7" s="112"/>
      <c r="H7" s="112"/>
      <c r="I7" s="112"/>
      <c r="J7" s="112"/>
      <c r="K7" s="112"/>
      <c r="L7" s="113"/>
      <c r="M7" s="66"/>
      <c r="P7" s="111"/>
      <c r="Q7" s="112"/>
      <c r="R7" s="112"/>
      <c r="S7" s="112"/>
      <c r="T7" s="112"/>
      <c r="U7" s="112"/>
      <c r="V7" s="112"/>
      <c r="W7" s="112"/>
      <c r="X7" s="112"/>
      <c r="Y7" s="112"/>
      <c r="Z7" s="113"/>
    </row>
    <row r="8" spans="1:30" x14ac:dyDescent="0.2">
      <c r="B8" s="114">
        <f ca="1">TODAY()</f>
        <v>46237</v>
      </c>
      <c r="C8" s="115"/>
      <c r="D8" s="116" t="s">
        <v>15</v>
      </c>
      <c r="E8" s="117"/>
      <c r="F8" s="117"/>
      <c r="G8" s="117"/>
      <c r="H8" s="117"/>
      <c r="I8" s="117"/>
      <c r="J8" s="117"/>
      <c r="K8" s="117"/>
      <c r="L8" s="118"/>
      <c r="M8" s="93"/>
      <c r="P8" s="129">
        <f ca="1">TODAY()</f>
        <v>46237</v>
      </c>
      <c r="Q8" s="130"/>
      <c r="R8" s="130"/>
      <c r="S8" s="130"/>
      <c r="T8" s="130"/>
      <c r="U8" s="130"/>
      <c r="V8" s="130"/>
      <c r="W8" s="130"/>
      <c r="X8" s="130"/>
      <c r="Y8" s="130"/>
      <c r="Z8" s="131"/>
    </row>
    <row r="9" spans="1:30" x14ac:dyDescent="0.2">
      <c r="B9" s="40" t="s">
        <v>21</v>
      </c>
      <c r="C9" s="43" t="s">
        <v>12</v>
      </c>
      <c r="D9" s="44" t="s">
        <v>4</v>
      </c>
      <c r="E9" s="44" t="s">
        <v>5</v>
      </c>
      <c r="F9" s="44" t="s">
        <v>6</v>
      </c>
      <c r="G9" s="44" t="s">
        <v>7</v>
      </c>
      <c r="H9" s="44" t="s">
        <v>8</v>
      </c>
      <c r="I9" s="44" t="s">
        <v>9</v>
      </c>
      <c r="J9" s="44" t="s">
        <v>10</v>
      </c>
      <c r="K9" s="44" t="s">
        <v>11</v>
      </c>
      <c r="L9" s="44" t="s">
        <v>48</v>
      </c>
      <c r="M9" s="94" t="s">
        <v>65</v>
      </c>
      <c r="N9" s="51" t="s">
        <v>19</v>
      </c>
      <c r="P9" s="40" t="s">
        <v>21</v>
      </c>
      <c r="Q9" s="133" t="s">
        <v>12</v>
      </c>
      <c r="R9" s="133"/>
      <c r="S9" s="133"/>
      <c r="T9" s="53" t="s">
        <v>4</v>
      </c>
      <c r="U9" s="53" t="s">
        <v>5</v>
      </c>
      <c r="V9" s="53" t="s">
        <v>6</v>
      </c>
      <c r="W9" s="54" t="s">
        <v>7</v>
      </c>
      <c r="X9" s="134" t="s">
        <v>52</v>
      </c>
      <c r="Y9" s="135"/>
      <c r="Z9" s="136"/>
    </row>
    <row r="10" spans="1:30" x14ac:dyDescent="0.2">
      <c r="A10" s="50">
        <f t="shared" ref="A10:A18" si="0">IF(N10="","",RANK(N10,$N$10:$N$18,1))</f>
        <v>9</v>
      </c>
      <c r="B10" s="42">
        <v>1</v>
      </c>
      <c r="C10" s="41" t="str">
        <f>VLOOKUP(B10,'Para Cuadrar'!$A$10:$M$18,3,FALSE)</f>
        <v>Inter de Cartagena</v>
      </c>
      <c r="D10" s="45">
        <f>VLOOKUP(B10,'Para Cuadrar'!$A$10:$M$18,4,FALSE)</f>
        <v>0</v>
      </c>
      <c r="E10" s="45">
        <f>VLOOKUP(B10,'Para Cuadrar'!$A$10:$M$18,5,FALSE)</f>
        <v>0</v>
      </c>
      <c r="F10" s="45">
        <f>VLOOKUP(B10,'Para Cuadrar'!$A$10:$M$18,6,FALSE)</f>
        <v>0</v>
      </c>
      <c r="G10" s="45">
        <f>VLOOKUP(B10,'Para Cuadrar'!$A$10:$M$18,7,FALSE)</f>
        <v>0</v>
      </c>
      <c r="H10" s="45">
        <f>VLOOKUP(B10,'Para Cuadrar'!$A$10:$M$18,8,FALSE)</f>
        <v>0</v>
      </c>
      <c r="I10" s="45">
        <f>VLOOKUP(B10,'Para Cuadrar'!$A$10:$M$18,9,FALSE)</f>
        <v>0</v>
      </c>
      <c r="J10" s="45">
        <f>VLOOKUP(B10,'Para Cuadrar'!$A$10:$M$18,10,FALSE)</f>
        <v>0</v>
      </c>
      <c r="K10" s="45">
        <f>VLOOKUP(B10,'Para Cuadrar'!$A$10:$M$18,11,FALSE)</f>
        <v>1</v>
      </c>
      <c r="L10" s="45">
        <f>VLOOKUP(B10,'Para Cuadrar'!$A$10:$M$18,12,FALSE)</f>
        <v>1</v>
      </c>
      <c r="M10" s="94">
        <f t="shared" ref="M10:M18" si="1">I10+VLOOKUP(C10,$Q$23:$V$35,6,FALSE)</f>
        <v>0</v>
      </c>
      <c r="N10" s="52">
        <f>IF(AND(D10=0,M10=0),-2000000-ROW(),M10*100000+(31+ROW()))</f>
        <v>-2000010</v>
      </c>
      <c r="P10" s="49">
        <v>1</v>
      </c>
      <c r="Q10" s="132" t="str">
        <f t="shared" ref="Q10:Q18" si="2">_xlfn.IFNA(IF(A10=0,"",VLOOKUP(P10,$A$10:$I$18,3,FALSE)),"")</f>
        <v>Heroicos</v>
      </c>
      <c r="R10" s="132"/>
      <c r="S10" s="132"/>
      <c r="T10" s="49">
        <f t="shared" ref="T10:T18" si="3">SUM(_xlfn.IFNA(IF(A10=0,"",VLOOKUP(P10,$A$10:$H$18,4,FALSE)),""),VLOOKUP(Q10,$Q$23:$V$43,2,FALSE))</f>
        <v>0</v>
      </c>
      <c r="U10" s="49">
        <f t="shared" ref="U10:U18" si="4">SUM(_xlfn.IFNA(IF(A10=0,"",VLOOKUP(P10,$A$10:$H$18,5,FALSE)),""),VLOOKUP(Q10,$Q$23:$V$43,3,FALSE))</f>
        <v>0</v>
      </c>
      <c r="V10" s="49">
        <f t="shared" ref="V10:V18" si="5">SUM(_xlfn.IFNA(IF(A10=0,"",VLOOKUP(P10,$A$10:$H$18,6,FALSE)),""),VLOOKUP(Q10,$Q$23:$V$43,4,FALSE))</f>
        <v>0</v>
      </c>
      <c r="W10" s="49">
        <f t="shared" ref="W10:W18" si="6">SUM(_xlfn.IFNA(IF(A10=0,"",VLOOKUP(P10,$A$10:$H$18,7,FALSE)),""),VLOOKUP(Q10,$Q$23:$V$43,5,FALSE))</f>
        <v>0</v>
      </c>
      <c r="X10" s="126">
        <f t="shared" ref="X10:X18" si="7">SUM(_xlfn.IFNA(IF(A10=0,"",VLOOKUP(P10,$A$10:$J$18,9,FALSE)),""),VLOOKUP(Q10,$Q$23:$V$43,6,FALSE))</f>
        <v>0</v>
      </c>
      <c r="Y10" s="127"/>
      <c r="Z10" s="128"/>
      <c r="AB10" s="39">
        <f>X10/27</f>
        <v>0</v>
      </c>
      <c r="AD10" s="39">
        <f>27*0.8</f>
        <v>21.6</v>
      </c>
    </row>
    <row r="11" spans="1:30" x14ac:dyDescent="0.2">
      <c r="A11" s="50">
        <f t="shared" si="0"/>
        <v>8</v>
      </c>
      <c r="B11" s="40">
        <v>2</v>
      </c>
      <c r="C11" s="41" t="str">
        <f>VLOOKUP(B11,'Para Cuadrar'!$A$10:$M$18,3,FALSE)</f>
        <v>Mate Bolivar FC</v>
      </c>
      <c r="D11" s="45">
        <f>VLOOKUP(B11,'Para Cuadrar'!$A$10:$M$18,4,FALSE)</f>
        <v>0</v>
      </c>
      <c r="E11" s="45">
        <f>VLOOKUP(B11,'Para Cuadrar'!$A$10:$M$18,5,FALSE)</f>
        <v>0</v>
      </c>
      <c r="F11" s="45">
        <f>VLOOKUP(B11,'Para Cuadrar'!$A$10:$M$18,6,FALSE)</f>
        <v>0</v>
      </c>
      <c r="G11" s="45">
        <f>VLOOKUP(B11,'Para Cuadrar'!$A$10:$M$18,7,FALSE)</f>
        <v>0</v>
      </c>
      <c r="H11" s="45">
        <f>VLOOKUP(B11,'Para Cuadrar'!$A$10:$M$18,8,FALSE)</f>
        <v>0</v>
      </c>
      <c r="I11" s="45">
        <f>VLOOKUP(B11,'Para Cuadrar'!$A$10:$M$18,9,FALSE)</f>
        <v>0</v>
      </c>
      <c r="J11" s="45">
        <f>VLOOKUP(B11,'Para Cuadrar'!$A$10:$M$18,10,FALSE)</f>
        <v>0</v>
      </c>
      <c r="K11" s="45">
        <f>VLOOKUP(B11,'Para Cuadrar'!$A$10:$M$18,11,FALSE)</f>
        <v>0.75</v>
      </c>
      <c r="L11" s="45">
        <f>VLOOKUP(B11,'Para Cuadrar'!$A$10:$M$18,12,FALSE)</f>
        <v>0.75</v>
      </c>
      <c r="M11" s="94">
        <f t="shared" si="1"/>
        <v>0</v>
      </c>
      <c r="N11" s="52">
        <f t="shared" ref="N11:N18" si="8">IF(AND(E11=0,M11=0),-2000000-ROW(),M11*100000+(31+ROW()))</f>
        <v>-2000011</v>
      </c>
      <c r="P11" s="49">
        <v>2</v>
      </c>
      <c r="Q11" s="132" t="str">
        <f t="shared" si="2"/>
        <v>Clase Aparte</v>
      </c>
      <c r="R11" s="132"/>
      <c r="S11" s="132"/>
      <c r="T11" s="49">
        <f t="shared" si="3"/>
        <v>0</v>
      </c>
      <c r="U11" s="49">
        <f t="shared" si="4"/>
        <v>0</v>
      </c>
      <c r="V11" s="49">
        <f t="shared" si="5"/>
        <v>0</v>
      </c>
      <c r="W11" s="49">
        <f t="shared" si="6"/>
        <v>0</v>
      </c>
      <c r="X11" s="126">
        <f t="shared" si="7"/>
        <v>0</v>
      </c>
      <c r="Y11" s="127"/>
      <c r="Z11" s="128"/>
      <c r="AB11" s="39" t="e">
        <f t="shared" ref="AB11:AB18" si="9">X11/T11</f>
        <v>#DIV/0!</v>
      </c>
    </row>
    <row r="12" spans="1:30" x14ac:dyDescent="0.2">
      <c r="A12" s="50">
        <f t="shared" si="0"/>
        <v>7</v>
      </c>
      <c r="B12" s="40">
        <v>3</v>
      </c>
      <c r="C12" s="41" t="str">
        <f>VLOOKUP(B12,'Para Cuadrar'!$A$10:$M$18,3,FALSE)</f>
        <v>Palmo Fc</v>
      </c>
      <c r="D12" s="45">
        <f>VLOOKUP(B12,'Para Cuadrar'!$A$10:$M$18,4,FALSE)</f>
        <v>0</v>
      </c>
      <c r="E12" s="45">
        <f>VLOOKUP(B12,'Para Cuadrar'!$A$10:$M$18,5,FALSE)</f>
        <v>0</v>
      </c>
      <c r="F12" s="45">
        <f>VLOOKUP(B12,'Para Cuadrar'!$A$10:$M$18,6,FALSE)</f>
        <v>0</v>
      </c>
      <c r="G12" s="45">
        <f>VLOOKUP(B12,'Para Cuadrar'!$A$10:$M$18,7,FALSE)</f>
        <v>0</v>
      </c>
      <c r="H12" s="45">
        <f>VLOOKUP(B12,'Para Cuadrar'!$A$10:$M$18,8,FALSE)</f>
        <v>0</v>
      </c>
      <c r="I12" s="45">
        <f>VLOOKUP(B12,'Para Cuadrar'!$A$10:$M$18,9,FALSE)</f>
        <v>0</v>
      </c>
      <c r="J12" s="45">
        <f>VLOOKUP(B12,'Para Cuadrar'!$A$10:$M$18,10,FALSE)</f>
        <v>0</v>
      </c>
      <c r="K12" s="45">
        <f>VLOOKUP(B12,'Para Cuadrar'!$A$10:$M$18,11,FALSE)</f>
        <v>0.5</v>
      </c>
      <c r="L12" s="45">
        <f>VLOOKUP(B12,'Para Cuadrar'!$A$10:$M$18,12,FALSE)</f>
        <v>0.5</v>
      </c>
      <c r="M12" s="94">
        <f t="shared" si="1"/>
        <v>0</v>
      </c>
      <c r="N12" s="52">
        <f t="shared" si="8"/>
        <v>-2000012</v>
      </c>
      <c r="P12" s="49">
        <v>3</v>
      </c>
      <c r="Q12" s="132" t="str">
        <f t="shared" si="2"/>
        <v>Familia Real</v>
      </c>
      <c r="R12" s="132"/>
      <c r="S12" s="132"/>
      <c r="T12" s="49">
        <f t="shared" si="3"/>
        <v>0</v>
      </c>
      <c r="U12" s="49">
        <f t="shared" si="4"/>
        <v>0</v>
      </c>
      <c r="V12" s="49">
        <f t="shared" si="5"/>
        <v>0</v>
      </c>
      <c r="W12" s="49">
        <f t="shared" si="6"/>
        <v>0</v>
      </c>
      <c r="X12" s="126">
        <f t="shared" si="7"/>
        <v>0</v>
      </c>
      <c r="Y12" s="127"/>
      <c r="Z12" s="128"/>
      <c r="AB12" s="39" t="e">
        <f t="shared" si="9"/>
        <v>#DIV/0!</v>
      </c>
    </row>
    <row r="13" spans="1:30" x14ac:dyDescent="0.2">
      <c r="A13" s="50">
        <f t="shared" si="0"/>
        <v>6</v>
      </c>
      <c r="B13" s="40">
        <v>4</v>
      </c>
      <c r="C13" s="41" t="str">
        <f>VLOOKUP(B13,'Para Cuadrar'!$A$10:$M$18,3,FALSE)</f>
        <v>Los Amigos</v>
      </c>
      <c r="D13" s="45">
        <f>VLOOKUP(B13,'Para Cuadrar'!$A$10:$M$18,4,FALSE)</f>
        <v>0</v>
      </c>
      <c r="E13" s="45">
        <f>VLOOKUP(B13,'Para Cuadrar'!$A$10:$M$18,5,FALSE)</f>
        <v>0</v>
      </c>
      <c r="F13" s="45">
        <f>VLOOKUP(B13,'Para Cuadrar'!$A$10:$M$18,6,FALSE)</f>
        <v>0</v>
      </c>
      <c r="G13" s="45">
        <f>VLOOKUP(B13,'Para Cuadrar'!$A$10:$M$18,7,FALSE)</f>
        <v>0</v>
      </c>
      <c r="H13" s="45">
        <f>VLOOKUP(B13,'Para Cuadrar'!$A$10:$M$18,8,FALSE)</f>
        <v>0</v>
      </c>
      <c r="I13" s="45">
        <f>VLOOKUP(B13,'Para Cuadrar'!$A$10:$M$18,9,FALSE)</f>
        <v>0</v>
      </c>
      <c r="J13" s="45">
        <f>VLOOKUP(B13,'Para Cuadrar'!$A$10:$M$18,10,FALSE)</f>
        <v>0</v>
      </c>
      <c r="K13" s="45">
        <f>VLOOKUP(B13,'Para Cuadrar'!$A$10:$M$18,11,FALSE)</f>
        <v>0.25</v>
      </c>
      <c r="L13" s="45">
        <f>VLOOKUP(B13,'Para Cuadrar'!$A$10:$M$18,12,FALSE)</f>
        <v>0.25</v>
      </c>
      <c r="M13" s="94">
        <f t="shared" si="1"/>
        <v>0</v>
      </c>
      <c r="N13" s="52">
        <f t="shared" si="8"/>
        <v>-2000013</v>
      </c>
      <c r="P13" s="49">
        <v>4</v>
      </c>
      <c r="Q13" s="132" t="str">
        <f t="shared" si="2"/>
        <v>Colonia Carmera</v>
      </c>
      <c r="R13" s="132"/>
      <c r="S13" s="132"/>
      <c r="T13" s="49">
        <f t="shared" si="3"/>
        <v>0</v>
      </c>
      <c r="U13" s="49">
        <f t="shared" si="4"/>
        <v>0</v>
      </c>
      <c r="V13" s="49">
        <f t="shared" si="5"/>
        <v>0</v>
      </c>
      <c r="W13" s="49">
        <f t="shared" si="6"/>
        <v>0</v>
      </c>
      <c r="X13" s="126">
        <f t="shared" si="7"/>
        <v>0</v>
      </c>
      <c r="Y13" s="127"/>
      <c r="Z13" s="128"/>
      <c r="AB13" s="39" t="e">
        <f t="shared" si="9"/>
        <v>#DIV/0!</v>
      </c>
    </row>
    <row r="14" spans="1:30" x14ac:dyDescent="0.2">
      <c r="A14" s="50">
        <f t="shared" si="0"/>
        <v>5</v>
      </c>
      <c r="B14" s="40">
        <v>5</v>
      </c>
      <c r="C14" s="41" t="str">
        <f>VLOOKUP(B14,'Para Cuadrar'!$A$10:$M$18,3,FALSE)</f>
        <v>Zamba</v>
      </c>
      <c r="D14" s="45">
        <f>VLOOKUP(B14,'Para Cuadrar'!$A$10:$M$18,4,FALSE)</f>
        <v>0</v>
      </c>
      <c r="E14" s="45">
        <f>VLOOKUP(B14,'Para Cuadrar'!$A$10:$M$18,5,FALSE)</f>
        <v>0</v>
      </c>
      <c r="F14" s="45">
        <f>VLOOKUP(B14,'Para Cuadrar'!$A$10:$M$18,6,FALSE)</f>
        <v>0</v>
      </c>
      <c r="G14" s="45">
        <f>VLOOKUP(B14,'Para Cuadrar'!$A$10:$M$18,7,FALSE)</f>
        <v>0</v>
      </c>
      <c r="H14" s="45">
        <f>VLOOKUP(B14,'Para Cuadrar'!$A$10:$M$18,8,FALSE)</f>
        <v>0</v>
      </c>
      <c r="I14" s="45">
        <f>VLOOKUP(B14,'Para Cuadrar'!$A$10:$M$18,9,FALSE)</f>
        <v>0</v>
      </c>
      <c r="J14" s="45">
        <f>VLOOKUP(B14,'Para Cuadrar'!$A$10:$M$18,10,FALSE)</f>
        <v>0</v>
      </c>
      <c r="K14" s="45">
        <f>VLOOKUP(B14,'Para Cuadrar'!$A$10:$M$18,11,FALSE)</f>
        <v>0</v>
      </c>
      <c r="L14" s="45">
        <f>VLOOKUP(B14,'Para Cuadrar'!$A$10:$M$18,12,FALSE)</f>
        <v>0</v>
      </c>
      <c r="M14" s="94">
        <f t="shared" si="1"/>
        <v>0</v>
      </c>
      <c r="N14" s="52">
        <f t="shared" si="8"/>
        <v>-2000014</v>
      </c>
      <c r="P14" s="49">
        <v>5</v>
      </c>
      <c r="Q14" s="132" t="str">
        <f t="shared" si="2"/>
        <v>Zamba</v>
      </c>
      <c r="R14" s="132"/>
      <c r="S14" s="132"/>
      <c r="T14" s="49">
        <f t="shared" si="3"/>
        <v>0</v>
      </c>
      <c r="U14" s="49">
        <f t="shared" si="4"/>
        <v>0</v>
      </c>
      <c r="V14" s="49">
        <f t="shared" si="5"/>
        <v>0</v>
      </c>
      <c r="W14" s="49">
        <f t="shared" si="6"/>
        <v>0</v>
      </c>
      <c r="X14" s="126">
        <f t="shared" si="7"/>
        <v>0</v>
      </c>
      <c r="Y14" s="127"/>
      <c r="Z14" s="128"/>
      <c r="AB14" s="39" t="e">
        <f t="shared" si="9"/>
        <v>#DIV/0!</v>
      </c>
    </row>
    <row r="15" spans="1:30" x14ac:dyDescent="0.2">
      <c r="A15" s="50">
        <f t="shared" si="0"/>
        <v>4</v>
      </c>
      <c r="B15" s="40">
        <v>6</v>
      </c>
      <c r="C15" s="41" t="str">
        <f>VLOOKUP(B15,'Para Cuadrar'!$A$10:$M$18,3,FALSE)</f>
        <v>Colonia Carmera</v>
      </c>
      <c r="D15" s="45">
        <f>VLOOKUP(B15,'Para Cuadrar'!$A$10:$M$18,4,FALSE)</f>
        <v>0</v>
      </c>
      <c r="E15" s="45">
        <f>VLOOKUP(B15,'Para Cuadrar'!$A$10:$M$18,5,FALSE)</f>
        <v>0</v>
      </c>
      <c r="F15" s="45">
        <f>VLOOKUP(B15,'Para Cuadrar'!$A$10:$M$18,6,FALSE)</f>
        <v>0</v>
      </c>
      <c r="G15" s="45">
        <f>VLOOKUP(B15,'Para Cuadrar'!$A$10:$M$18,7,FALSE)</f>
        <v>0</v>
      </c>
      <c r="H15" s="45">
        <f>VLOOKUP(B15,'Para Cuadrar'!$A$10:$M$18,8,FALSE)</f>
        <v>0</v>
      </c>
      <c r="I15" s="45">
        <f>VLOOKUP(B15,'Para Cuadrar'!$A$10:$M$18,9,FALSE)</f>
        <v>0</v>
      </c>
      <c r="J15" s="45">
        <f>VLOOKUP(B15,'Para Cuadrar'!$A$10:$M$18,10,FALSE)</f>
        <v>0</v>
      </c>
      <c r="K15" s="45">
        <f>VLOOKUP(B15,'Para Cuadrar'!$A$10:$M$18,11,FALSE)</f>
        <v>0</v>
      </c>
      <c r="L15" s="45">
        <f>VLOOKUP(B15,'Para Cuadrar'!$A$10:$M$18,12,FALSE)</f>
        <v>0</v>
      </c>
      <c r="M15" s="94">
        <f t="shared" si="1"/>
        <v>0</v>
      </c>
      <c r="N15" s="52">
        <f t="shared" si="8"/>
        <v>-2000015</v>
      </c>
      <c r="P15" s="49">
        <v>6</v>
      </c>
      <c r="Q15" s="132" t="str">
        <f t="shared" si="2"/>
        <v>Los Amigos</v>
      </c>
      <c r="R15" s="132"/>
      <c r="S15" s="132"/>
      <c r="T15" s="49">
        <f t="shared" si="3"/>
        <v>0</v>
      </c>
      <c r="U15" s="49">
        <f t="shared" si="4"/>
        <v>0</v>
      </c>
      <c r="V15" s="49">
        <f t="shared" si="5"/>
        <v>0</v>
      </c>
      <c r="W15" s="49">
        <f t="shared" si="6"/>
        <v>0</v>
      </c>
      <c r="X15" s="126">
        <f t="shared" si="7"/>
        <v>0</v>
      </c>
      <c r="Y15" s="127"/>
      <c r="Z15" s="128"/>
      <c r="AB15" s="39" t="e">
        <f>X15/T15</f>
        <v>#DIV/0!</v>
      </c>
    </row>
    <row r="16" spans="1:30" x14ac:dyDescent="0.2">
      <c r="A16" s="50">
        <f t="shared" si="0"/>
        <v>3</v>
      </c>
      <c r="B16" s="40">
        <v>7</v>
      </c>
      <c r="C16" s="41" t="str">
        <f>VLOOKUP(B16,'Para Cuadrar'!$A$10:$M$18,3,FALSE)</f>
        <v>Familia Real</v>
      </c>
      <c r="D16" s="45">
        <f>VLOOKUP(B16,'Para Cuadrar'!$A$10:$M$18,4,FALSE)</f>
        <v>0</v>
      </c>
      <c r="E16" s="45">
        <f>VLOOKUP(B16,'Para Cuadrar'!$A$10:$M$18,5,FALSE)</f>
        <v>0</v>
      </c>
      <c r="F16" s="45">
        <f>VLOOKUP(B16,'Para Cuadrar'!$A$10:$M$18,6,FALSE)</f>
        <v>0</v>
      </c>
      <c r="G16" s="45">
        <f>VLOOKUP(B16,'Para Cuadrar'!$A$10:$M$18,7,FALSE)</f>
        <v>0</v>
      </c>
      <c r="H16" s="45">
        <f>VLOOKUP(B16,'Para Cuadrar'!$A$10:$M$18,8,FALSE)</f>
        <v>0</v>
      </c>
      <c r="I16" s="45">
        <f>VLOOKUP(B16,'Para Cuadrar'!$A$10:$M$18,9,FALSE)</f>
        <v>0</v>
      </c>
      <c r="J16" s="45">
        <f>VLOOKUP(B16,'Para Cuadrar'!$A$10:$M$18,10,FALSE)</f>
        <v>0</v>
      </c>
      <c r="K16" s="45">
        <f>VLOOKUP(B16,'Para Cuadrar'!$A$10:$M$18,11,FALSE)</f>
        <v>0</v>
      </c>
      <c r="L16" s="45">
        <f>VLOOKUP(B16,'Para Cuadrar'!$A$10:$M$18,12,FALSE)</f>
        <v>0</v>
      </c>
      <c r="M16" s="94">
        <f t="shared" si="1"/>
        <v>0</v>
      </c>
      <c r="N16" s="52">
        <f t="shared" si="8"/>
        <v>-2000016</v>
      </c>
      <c r="P16" s="49">
        <v>7</v>
      </c>
      <c r="Q16" s="132" t="str">
        <f t="shared" si="2"/>
        <v>Palmo Fc</v>
      </c>
      <c r="R16" s="132"/>
      <c r="S16" s="132"/>
      <c r="T16" s="49">
        <f t="shared" si="3"/>
        <v>0</v>
      </c>
      <c r="U16" s="49">
        <f t="shared" si="4"/>
        <v>0</v>
      </c>
      <c r="V16" s="49">
        <f t="shared" si="5"/>
        <v>0</v>
      </c>
      <c r="W16" s="49">
        <f t="shared" si="6"/>
        <v>0</v>
      </c>
      <c r="X16" s="126">
        <f t="shared" si="7"/>
        <v>0</v>
      </c>
      <c r="Y16" s="127"/>
      <c r="Z16" s="128"/>
      <c r="AB16" s="39" t="e">
        <f t="shared" si="9"/>
        <v>#DIV/0!</v>
      </c>
    </row>
    <row r="17" spans="1:28" x14ac:dyDescent="0.2">
      <c r="A17" s="50">
        <f t="shared" si="0"/>
        <v>2</v>
      </c>
      <c r="B17" s="40">
        <v>8</v>
      </c>
      <c r="C17" s="41" t="str">
        <f>VLOOKUP(B17,'Para Cuadrar'!$A$10:$M$18,3,FALSE)</f>
        <v>Clase Aparte</v>
      </c>
      <c r="D17" s="45">
        <f>VLOOKUP(B17,'Para Cuadrar'!$A$10:$M$18,4,FALSE)</f>
        <v>0</v>
      </c>
      <c r="E17" s="45">
        <f>VLOOKUP(B17,'Para Cuadrar'!$A$10:$M$18,5,FALSE)</f>
        <v>0</v>
      </c>
      <c r="F17" s="45">
        <f>VLOOKUP(B17,'Para Cuadrar'!$A$10:$M$18,6,FALSE)</f>
        <v>0</v>
      </c>
      <c r="G17" s="45">
        <f>VLOOKUP(B17,'Para Cuadrar'!$A$10:$M$18,7,FALSE)</f>
        <v>0</v>
      </c>
      <c r="H17" s="45">
        <f>VLOOKUP(B17,'Para Cuadrar'!$A$10:$M$18,8,FALSE)</f>
        <v>0</v>
      </c>
      <c r="I17" s="45">
        <f>VLOOKUP(B17,'Para Cuadrar'!$A$10:$M$18,9,FALSE)</f>
        <v>0</v>
      </c>
      <c r="J17" s="45">
        <f>VLOOKUP(B17,'Para Cuadrar'!$A$10:$M$18,10,FALSE)</f>
        <v>0</v>
      </c>
      <c r="K17" s="45">
        <f>VLOOKUP(B17,'Para Cuadrar'!$A$10:$M$18,11,FALSE)</f>
        <v>0</v>
      </c>
      <c r="L17" s="45">
        <f>VLOOKUP(B17,'Para Cuadrar'!$A$10:$M$18,12,FALSE)</f>
        <v>0</v>
      </c>
      <c r="M17" s="94">
        <f t="shared" si="1"/>
        <v>0</v>
      </c>
      <c r="N17" s="52">
        <f t="shared" si="8"/>
        <v>-2000017</v>
      </c>
      <c r="P17" s="49">
        <v>8</v>
      </c>
      <c r="Q17" s="132" t="str">
        <f t="shared" si="2"/>
        <v>Mate Bolivar FC</v>
      </c>
      <c r="R17" s="132"/>
      <c r="S17" s="132"/>
      <c r="T17" s="49">
        <f t="shared" si="3"/>
        <v>0</v>
      </c>
      <c r="U17" s="49">
        <f t="shared" si="4"/>
        <v>0</v>
      </c>
      <c r="V17" s="49">
        <f t="shared" si="5"/>
        <v>0</v>
      </c>
      <c r="W17" s="49">
        <f t="shared" si="6"/>
        <v>0</v>
      </c>
      <c r="X17" s="126">
        <f t="shared" si="7"/>
        <v>0</v>
      </c>
      <c r="Y17" s="127"/>
      <c r="Z17" s="128"/>
      <c r="AB17" s="39" t="e">
        <f t="shared" si="9"/>
        <v>#DIV/0!</v>
      </c>
    </row>
    <row r="18" spans="1:28" x14ac:dyDescent="0.2">
      <c r="A18" s="50">
        <f t="shared" si="0"/>
        <v>1</v>
      </c>
      <c r="B18" s="40">
        <v>9</v>
      </c>
      <c r="C18" s="41" t="str">
        <f>VLOOKUP(B18,'Para Cuadrar'!$A$10:$M$18,3,FALSE)</f>
        <v>Heroicos</v>
      </c>
      <c r="D18" s="45">
        <f>VLOOKUP(B18,'Para Cuadrar'!$A$10:$M$18,4,FALSE)</f>
        <v>0</v>
      </c>
      <c r="E18" s="45">
        <f>VLOOKUP(B18,'Para Cuadrar'!$A$10:$M$18,5,FALSE)</f>
        <v>0</v>
      </c>
      <c r="F18" s="45">
        <f>VLOOKUP(B18,'Para Cuadrar'!$A$10:$M$18,6,FALSE)</f>
        <v>0</v>
      </c>
      <c r="G18" s="45">
        <f>VLOOKUP(B18,'Para Cuadrar'!$A$10:$M$18,7,FALSE)</f>
        <v>0</v>
      </c>
      <c r="H18" s="45">
        <f>VLOOKUP(B18,'Para Cuadrar'!$A$10:$M$18,8,FALSE)</f>
        <v>0</v>
      </c>
      <c r="I18" s="45">
        <f>VLOOKUP(B18,'Para Cuadrar'!$A$10:$M$18,9,FALSE)</f>
        <v>0</v>
      </c>
      <c r="J18" s="45">
        <f>VLOOKUP(B18,'Para Cuadrar'!$A$10:$M$18,10,FALSE)</f>
        <v>0</v>
      </c>
      <c r="K18" s="45">
        <f>VLOOKUP(B18,'Para Cuadrar'!$A$10:$M$18,11,FALSE)</f>
        <v>0</v>
      </c>
      <c r="L18" s="45">
        <f>VLOOKUP(B18,'Para Cuadrar'!$A$10:$M$18,12,FALSE)</f>
        <v>0</v>
      </c>
      <c r="M18" s="94">
        <f t="shared" si="1"/>
        <v>0</v>
      </c>
      <c r="N18" s="52">
        <f t="shared" si="8"/>
        <v>-2000018</v>
      </c>
      <c r="P18" s="49">
        <v>9</v>
      </c>
      <c r="Q18" s="132" t="str">
        <f t="shared" si="2"/>
        <v>Inter de Cartagena</v>
      </c>
      <c r="R18" s="132"/>
      <c r="S18" s="132"/>
      <c r="T18" s="49">
        <f t="shared" si="3"/>
        <v>0</v>
      </c>
      <c r="U18" s="49">
        <f t="shared" si="4"/>
        <v>0</v>
      </c>
      <c r="V18" s="49">
        <f t="shared" si="5"/>
        <v>0</v>
      </c>
      <c r="W18" s="49">
        <f t="shared" si="6"/>
        <v>0</v>
      </c>
      <c r="X18" s="126">
        <f t="shared" si="7"/>
        <v>0</v>
      </c>
      <c r="Y18" s="127"/>
      <c r="Z18" s="128"/>
      <c r="AB18" s="39" t="e">
        <f t="shared" si="9"/>
        <v>#DIV/0!</v>
      </c>
    </row>
    <row r="19" spans="1:28" x14ac:dyDescent="0.2">
      <c r="D19" s="39">
        <f>SUM(D10:D18)/2</f>
        <v>0</v>
      </c>
      <c r="H19" s="39">
        <f>SUM(H10:H18)</f>
        <v>0</v>
      </c>
      <c r="I19" s="39">
        <f>SUM(I10:I18)</f>
        <v>0</v>
      </c>
      <c r="L19" s="39">
        <f>SUM(L10:L18)</f>
        <v>2.5</v>
      </c>
      <c r="Y19" s="62">
        <f>SUM(X10:Z18)</f>
        <v>0</v>
      </c>
    </row>
    <row r="20" spans="1:28" x14ac:dyDescent="0.2">
      <c r="E20" s="46"/>
      <c r="H20" s="60"/>
      <c r="Y20" s="62"/>
    </row>
    <row r="21" spans="1:28" x14ac:dyDescent="0.2">
      <c r="E21" s="46"/>
      <c r="H21" s="60"/>
    </row>
    <row r="22" spans="1:28" x14ac:dyDescent="0.2">
      <c r="H22" s="60"/>
    </row>
    <row r="23" spans="1:28" x14ac:dyDescent="0.2">
      <c r="H23" s="60"/>
      <c r="Q23" s="39" t="s">
        <v>74</v>
      </c>
      <c r="R23" s="39">
        <v>0</v>
      </c>
      <c r="S23" s="39">
        <v>0</v>
      </c>
      <c r="T23" s="60">
        <v>0</v>
      </c>
      <c r="U23" s="39">
        <v>0</v>
      </c>
      <c r="V23" s="39">
        <v>0</v>
      </c>
    </row>
    <row r="24" spans="1:28" x14ac:dyDescent="0.2">
      <c r="H24" s="60"/>
      <c r="Q24" s="39" t="s">
        <v>68</v>
      </c>
      <c r="R24" s="39">
        <v>0</v>
      </c>
      <c r="S24" s="39">
        <v>0</v>
      </c>
      <c r="T24" s="60">
        <v>0</v>
      </c>
      <c r="U24" s="39">
        <v>0</v>
      </c>
      <c r="V24" s="39">
        <v>0</v>
      </c>
    </row>
    <row r="25" spans="1:28" x14ac:dyDescent="0.2">
      <c r="H25" s="61"/>
      <c r="Q25" s="39" t="s">
        <v>72</v>
      </c>
      <c r="R25" s="39">
        <v>0</v>
      </c>
      <c r="S25" s="39">
        <v>0</v>
      </c>
      <c r="T25" s="60">
        <v>0</v>
      </c>
      <c r="U25" s="39">
        <v>0</v>
      </c>
      <c r="V25" s="39">
        <v>0</v>
      </c>
    </row>
    <row r="26" spans="1:28" x14ac:dyDescent="0.2">
      <c r="F26"/>
      <c r="G26"/>
      <c r="H26"/>
      <c r="I26"/>
      <c r="Q26" s="39" t="s">
        <v>47</v>
      </c>
      <c r="R26" s="39">
        <v>0</v>
      </c>
      <c r="S26" s="39">
        <v>0</v>
      </c>
      <c r="T26" s="60">
        <v>0</v>
      </c>
      <c r="U26" s="39">
        <v>0</v>
      </c>
      <c r="V26" s="39">
        <v>0</v>
      </c>
    </row>
    <row r="27" spans="1:28" x14ac:dyDescent="0.2">
      <c r="F27"/>
      <c r="G27"/>
      <c r="H27"/>
      <c r="I27"/>
      <c r="Q27" s="39" t="s">
        <v>71</v>
      </c>
      <c r="R27" s="39">
        <v>0</v>
      </c>
      <c r="S27" s="39">
        <v>0</v>
      </c>
      <c r="T27" s="60">
        <v>0</v>
      </c>
      <c r="U27" s="39">
        <v>0</v>
      </c>
      <c r="V27" s="39">
        <v>0</v>
      </c>
    </row>
    <row r="28" spans="1:28" x14ac:dyDescent="0.2">
      <c r="F28"/>
      <c r="G28"/>
      <c r="H28"/>
      <c r="I28"/>
      <c r="Q28" s="39" t="s">
        <v>75</v>
      </c>
      <c r="R28" s="39">
        <v>0</v>
      </c>
      <c r="S28" s="39">
        <v>0</v>
      </c>
      <c r="T28" s="60">
        <v>0</v>
      </c>
      <c r="U28" s="39">
        <v>0</v>
      </c>
      <c r="V28" s="39">
        <v>0</v>
      </c>
    </row>
    <row r="29" spans="1:28" ht="13.15" customHeight="1" x14ac:dyDescent="0.2">
      <c r="F29"/>
      <c r="G29"/>
      <c r="H29"/>
      <c r="I29"/>
      <c r="Q29" s="39" t="s">
        <v>67</v>
      </c>
      <c r="R29" s="39">
        <v>0</v>
      </c>
      <c r="S29" s="39">
        <v>0</v>
      </c>
      <c r="T29" s="60">
        <v>0</v>
      </c>
      <c r="U29" s="39">
        <v>0</v>
      </c>
      <c r="V29" s="39">
        <v>0</v>
      </c>
    </row>
    <row r="30" spans="1:28" x14ac:dyDescent="0.2">
      <c r="Q30" s="39" t="s">
        <v>54</v>
      </c>
      <c r="R30" s="39">
        <v>0</v>
      </c>
      <c r="S30" s="39">
        <v>0</v>
      </c>
      <c r="T30" s="60">
        <v>0</v>
      </c>
      <c r="U30" s="39">
        <v>0</v>
      </c>
      <c r="V30" s="39">
        <v>0</v>
      </c>
    </row>
    <row r="31" spans="1:28" x14ac:dyDescent="0.2">
      <c r="Q31" s="39" t="s">
        <v>51</v>
      </c>
      <c r="R31" s="39">
        <v>0</v>
      </c>
      <c r="S31" s="39">
        <v>0</v>
      </c>
      <c r="T31" s="60">
        <v>0</v>
      </c>
      <c r="U31" s="39">
        <v>0</v>
      </c>
      <c r="V31" s="39">
        <v>0</v>
      </c>
    </row>
  </sheetData>
  <sortState ref="T10:Z22">
    <sortCondition descending="1" ref="X10:X22"/>
  </sortState>
  <mergeCells count="25">
    <mergeCell ref="B4:L7"/>
    <mergeCell ref="B8:C8"/>
    <mergeCell ref="P4:Z7"/>
    <mergeCell ref="P8:Z8"/>
    <mergeCell ref="Q18:S18"/>
    <mergeCell ref="Q9:S9"/>
    <mergeCell ref="Q10:S10"/>
    <mergeCell ref="Q11:S11"/>
    <mergeCell ref="Q12:S12"/>
    <mergeCell ref="Q13:S13"/>
    <mergeCell ref="D8:L8"/>
    <mergeCell ref="Q14:S14"/>
    <mergeCell ref="Q15:S15"/>
    <mergeCell ref="Q16:S16"/>
    <mergeCell ref="Q17:S17"/>
    <mergeCell ref="X9:Z9"/>
    <mergeCell ref="X15:Z15"/>
    <mergeCell ref="X16:Z16"/>
    <mergeCell ref="X17:Z17"/>
    <mergeCell ref="X18:Z18"/>
    <mergeCell ref="X10:Z10"/>
    <mergeCell ref="X11:Z11"/>
    <mergeCell ref="X12:Z12"/>
    <mergeCell ref="X13:Z13"/>
    <mergeCell ref="X14:Z14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I41"/>
  <sheetViews>
    <sheetView tabSelected="1" workbookViewId="0">
      <selection activeCell="I21" sqref="I21"/>
    </sheetView>
  </sheetViews>
  <sheetFormatPr defaultColWidth="11.42578125" defaultRowHeight="12.75" customHeight="1" x14ac:dyDescent="0.2"/>
  <cols>
    <col min="1" max="1" width="18.7109375" style="24" customWidth="1"/>
    <col min="2" max="3" width="11.42578125" style="24"/>
    <col min="4" max="4" width="20.5703125" style="24" bestFit="1" customWidth="1"/>
    <col min="5" max="8" width="11.42578125" style="24"/>
    <col min="9" max="9" width="11.42578125" style="27"/>
    <col min="10" max="16384" width="11.42578125" style="24"/>
  </cols>
  <sheetData>
    <row r="1" spans="1:9" ht="12.75" customHeight="1" x14ac:dyDescent="0.2">
      <c r="A1" s="137" t="s">
        <v>0</v>
      </c>
      <c r="B1" s="137"/>
      <c r="D1" s="31" t="s">
        <v>18</v>
      </c>
      <c r="I1" s="27">
        <v>1</v>
      </c>
    </row>
    <row r="2" spans="1:9" ht="12.75" customHeight="1" x14ac:dyDescent="0.2">
      <c r="A2" s="25" t="s">
        <v>1</v>
      </c>
      <c r="B2" s="25">
        <v>3</v>
      </c>
      <c r="D2" s="25" t="s">
        <v>68</v>
      </c>
      <c r="I2" s="27">
        <v>2</v>
      </c>
    </row>
    <row r="3" spans="1:9" ht="12.75" customHeight="1" x14ac:dyDescent="0.2">
      <c r="A3" s="25" t="s">
        <v>2</v>
      </c>
      <c r="B3" s="25">
        <v>1</v>
      </c>
      <c r="D3" s="25" t="s">
        <v>74</v>
      </c>
      <c r="F3"/>
      <c r="I3" s="27">
        <v>3</v>
      </c>
    </row>
    <row r="4" spans="1:9" ht="12.75" customHeight="1" x14ac:dyDescent="0.2">
      <c r="A4" s="25" t="s">
        <v>3</v>
      </c>
      <c r="B4" s="25">
        <v>0</v>
      </c>
      <c r="D4" s="25" t="s">
        <v>72</v>
      </c>
      <c r="I4" s="27">
        <v>4</v>
      </c>
    </row>
    <row r="5" spans="1:9" ht="12.75" customHeight="1" x14ac:dyDescent="0.2">
      <c r="D5" s="25" t="s">
        <v>47</v>
      </c>
      <c r="I5" s="27">
        <v>5</v>
      </c>
    </row>
    <row r="6" spans="1:9" ht="12.75" customHeight="1" x14ac:dyDescent="0.2">
      <c r="A6" s="25" t="s">
        <v>20</v>
      </c>
      <c r="B6" s="26" t="s">
        <v>73</v>
      </c>
      <c r="D6" s="25" t="s">
        <v>71</v>
      </c>
      <c r="I6" s="27">
        <v>6</v>
      </c>
    </row>
    <row r="7" spans="1:9" ht="12.75" customHeight="1" x14ac:dyDescent="0.2">
      <c r="D7" s="25" t="s">
        <v>75</v>
      </c>
      <c r="I7" s="27">
        <v>7</v>
      </c>
    </row>
    <row r="8" spans="1:9" ht="12.75" customHeight="1" x14ac:dyDescent="0.2">
      <c r="A8" s="27"/>
      <c r="D8" s="25" t="s">
        <v>51</v>
      </c>
      <c r="I8" s="27">
        <v>8</v>
      </c>
    </row>
    <row r="9" spans="1:9" ht="12.75" customHeight="1" x14ac:dyDescent="0.2">
      <c r="A9" s="27"/>
      <c r="B9" s="28"/>
      <c r="D9" s="25" t="s">
        <v>67</v>
      </c>
      <c r="I9" s="27">
        <v>9</v>
      </c>
    </row>
    <row r="10" spans="1:9" ht="12.75" customHeight="1" x14ac:dyDescent="0.2">
      <c r="A10" s="27"/>
      <c r="D10" s="47" t="s">
        <v>54</v>
      </c>
      <c r="I10" s="27">
        <v>10</v>
      </c>
    </row>
    <row r="11" spans="1:9" ht="12.75" customHeight="1" x14ac:dyDescent="0.2">
      <c r="A11" s="27"/>
      <c r="D11" s="25"/>
      <c r="I11" s="27">
        <v>11</v>
      </c>
    </row>
    <row r="12" spans="1:9" ht="12.75" customHeight="1" x14ac:dyDescent="0.2">
      <c r="A12" s="27"/>
      <c r="D12" s="25"/>
      <c r="I12" s="27">
        <v>12</v>
      </c>
    </row>
    <row r="13" spans="1:9" ht="12.75" customHeight="1" x14ac:dyDescent="0.2">
      <c r="A13" s="27"/>
      <c r="D13" s="25"/>
      <c r="I13" s="27">
        <v>13</v>
      </c>
    </row>
    <row r="14" spans="1:9" ht="12.75" customHeight="1" x14ac:dyDescent="0.2">
      <c r="A14" s="27"/>
      <c r="D14" s="25"/>
      <c r="I14" s="27">
        <v>14</v>
      </c>
    </row>
    <row r="15" spans="1:9" ht="12.75" customHeight="1" x14ac:dyDescent="0.2">
      <c r="A15" s="27"/>
      <c r="D15" s="25"/>
      <c r="I15" s="27">
        <v>15</v>
      </c>
    </row>
    <row r="16" spans="1:9" ht="12.75" customHeight="1" x14ac:dyDescent="0.2">
      <c r="A16" s="27"/>
      <c r="D16" s="25"/>
      <c r="I16" s="27">
        <v>16</v>
      </c>
    </row>
    <row r="17" spans="1:9" ht="12.75" customHeight="1" x14ac:dyDescent="0.2">
      <c r="A17" s="27"/>
      <c r="D17" s="25"/>
      <c r="I17" s="27">
        <v>17</v>
      </c>
    </row>
    <row r="18" spans="1:9" ht="12.75" customHeight="1" x14ac:dyDescent="0.2">
      <c r="A18" s="27"/>
      <c r="D18" s="25"/>
      <c r="I18" s="27">
        <v>18</v>
      </c>
    </row>
    <row r="19" spans="1:9" ht="12.75" customHeight="1" x14ac:dyDescent="0.2">
      <c r="A19" s="27"/>
      <c r="D19" s="25"/>
      <c r="I19" s="27">
        <v>19</v>
      </c>
    </row>
    <row r="20" spans="1:9" ht="12.75" customHeight="1" x14ac:dyDescent="0.2">
      <c r="A20" s="27"/>
      <c r="D20" s="38"/>
      <c r="I20" s="27">
        <v>20</v>
      </c>
    </row>
    <row r="21" spans="1:9" ht="12.75" customHeight="1" x14ac:dyDescent="0.2">
      <c r="A21" s="27"/>
      <c r="D21" s="25"/>
      <c r="I21" s="27">
        <v>21</v>
      </c>
    </row>
    <row r="22" spans="1:9" ht="12.75" customHeight="1" x14ac:dyDescent="0.2">
      <c r="A22" s="27"/>
      <c r="D22" s="25"/>
      <c r="I22" s="27">
        <v>22</v>
      </c>
    </row>
    <row r="23" spans="1:9" ht="12.75" customHeight="1" x14ac:dyDescent="0.2">
      <c r="D23" s="25"/>
      <c r="I23" s="27">
        <v>23</v>
      </c>
    </row>
    <row r="24" spans="1:9" ht="12.75" customHeight="1" x14ac:dyDescent="0.2">
      <c r="D24" s="47"/>
      <c r="I24" s="27">
        <v>24</v>
      </c>
    </row>
    <row r="25" spans="1:9" ht="12.75" customHeight="1" x14ac:dyDescent="0.2">
      <c r="D25" s="47"/>
      <c r="I25" s="27">
        <v>25</v>
      </c>
    </row>
    <row r="26" spans="1:9" ht="12.75" customHeight="1" x14ac:dyDescent="0.2">
      <c r="D26" s="25" t="s">
        <v>22</v>
      </c>
      <c r="I26" s="27">
        <v>26</v>
      </c>
    </row>
    <row r="27" spans="1:9" ht="12.75" customHeight="1" x14ac:dyDescent="0.2">
      <c r="D27" s="25" t="s">
        <v>23</v>
      </c>
      <c r="I27" s="27">
        <v>27</v>
      </c>
    </row>
    <row r="28" spans="1:9" ht="12.75" customHeight="1" x14ac:dyDescent="0.2">
      <c r="D28" s="25" t="s">
        <v>24</v>
      </c>
      <c r="I28" s="27">
        <v>28</v>
      </c>
    </row>
    <row r="29" spans="1:9" ht="12.75" customHeight="1" x14ac:dyDescent="0.2">
      <c r="D29" s="25" t="s">
        <v>25</v>
      </c>
      <c r="I29" s="27">
        <v>29</v>
      </c>
    </row>
    <row r="30" spans="1:9" ht="12.75" customHeight="1" x14ac:dyDescent="0.2">
      <c r="D30" s="25" t="s">
        <v>26</v>
      </c>
      <c r="I30" s="27">
        <v>30</v>
      </c>
    </row>
    <row r="31" spans="1:9" ht="12.75" customHeight="1" x14ac:dyDescent="0.2">
      <c r="D31" s="25" t="s">
        <v>27</v>
      </c>
      <c r="I31" s="27">
        <v>31</v>
      </c>
    </row>
    <row r="32" spans="1:9" ht="12.75" customHeight="1" x14ac:dyDescent="0.2">
      <c r="D32" s="25" t="s">
        <v>28</v>
      </c>
      <c r="I32" s="27">
        <v>32</v>
      </c>
    </row>
    <row r="33" spans="4:9" ht="12.75" customHeight="1" x14ac:dyDescent="0.2">
      <c r="D33" s="25" t="s">
        <v>29</v>
      </c>
      <c r="I33" s="27">
        <v>33</v>
      </c>
    </row>
    <row r="34" spans="4:9" ht="12.75" customHeight="1" x14ac:dyDescent="0.2">
      <c r="D34" s="25" t="s">
        <v>30</v>
      </c>
      <c r="I34" s="27">
        <v>34</v>
      </c>
    </row>
    <row r="35" spans="4:9" ht="12.75" customHeight="1" x14ac:dyDescent="0.2">
      <c r="D35" s="25" t="s">
        <v>31</v>
      </c>
      <c r="I35" s="27">
        <v>35</v>
      </c>
    </row>
    <row r="36" spans="4:9" ht="12.75" customHeight="1" x14ac:dyDescent="0.2">
      <c r="D36" s="25" t="s">
        <v>32</v>
      </c>
      <c r="I36" s="27">
        <v>36</v>
      </c>
    </row>
    <row r="37" spans="4:9" ht="12.75" customHeight="1" x14ac:dyDescent="0.2">
      <c r="D37" s="25" t="s">
        <v>33</v>
      </c>
      <c r="I37" s="27">
        <v>37</v>
      </c>
    </row>
    <row r="38" spans="4:9" ht="12.75" customHeight="1" x14ac:dyDescent="0.2">
      <c r="D38" s="25" t="s">
        <v>34</v>
      </c>
      <c r="I38" s="27">
        <v>38</v>
      </c>
    </row>
    <row r="39" spans="4:9" ht="12.75" customHeight="1" x14ac:dyDescent="0.2">
      <c r="D39" s="25" t="s">
        <v>35</v>
      </c>
      <c r="I39" s="27">
        <v>39</v>
      </c>
    </row>
    <row r="40" spans="4:9" ht="12.75" customHeight="1" x14ac:dyDescent="0.2">
      <c r="D40" s="25" t="s">
        <v>36</v>
      </c>
      <c r="I40" s="27">
        <v>40</v>
      </c>
    </row>
    <row r="41" spans="4:9" ht="12.75" customHeight="1" x14ac:dyDescent="0.2">
      <c r="D41" s="25" t="s">
        <v>37</v>
      </c>
    </row>
  </sheetData>
  <sortState ref="D2:D20">
    <sortCondition ref="D2"/>
  </sortState>
  <mergeCells count="1">
    <mergeCell ref="A1:B1"/>
  </mergeCells>
  <phoneticPr fontId="4" type="noConversion"/>
  <conditionalFormatting sqref="D26:D41 D22:D24">
    <cfRule type="expression" dxfId="3" priority="4" stopIfTrue="1">
      <formula>(ROW()-2)&gt;=VALUE($B$6)</formula>
    </cfRule>
  </conditionalFormatting>
  <conditionalFormatting sqref="D25">
    <cfRule type="expression" dxfId="2" priority="3" stopIfTrue="1">
      <formula>(ROW()-2)&gt;=VALUE($B$6)</formula>
    </cfRule>
  </conditionalFormatting>
  <conditionalFormatting sqref="D2:D11 D14:D21">
    <cfRule type="expression" dxfId="1" priority="1" stopIfTrue="1">
      <formula>(ROW()-2)&gt;=VALUE($B$6)</formula>
    </cfRule>
  </conditionalFormatting>
  <pageMargins left="0.75" right="0.75" top="1" bottom="1" header="0" footer="0"/>
  <pageSetup paperSize="9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boBox1">
          <controlPr defaultSize="0" autoLine="0" linkedCell="B6" listFillRange="I1:I40" r:id="rId5">
            <anchor moveWithCells="1">
              <from>
                <xdr:col>1</xdr:col>
                <xdr:colOff>9525</xdr:colOff>
                <xdr:row>4</xdr:row>
                <xdr:rowOff>152400</xdr:rowOff>
              </from>
              <to>
                <xdr:col>2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027" r:id="rId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A42"/>
  <sheetViews>
    <sheetView workbookViewId="0">
      <selection activeCell="S14" sqref="S14"/>
    </sheetView>
  </sheetViews>
  <sheetFormatPr defaultColWidth="9.140625" defaultRowHeight="12.75" x14ac:dyDescent="0.2"/>
  <cols>
    <col min="1" max="1" width="5.85546875" style="1" customWidth="1"/>
    <col min="2" max="2" width="20.28515625" customWidth="1"/>
    <col min="3" max="26" width="4.28515625" style="1" customWidth="1"/>
    <col min="27" max="27" width="10.140625" bestFit="1" customWidth="1"/>
  </cols>
  <sheetData>
    <row r="1" spans="1:27" x14ac:dyDescent="0.2">
      <c r="C1" s="102" t="s">
        <v>13</v>
      </c>
      <c r="D1" s="102"/>
      <c r="E1" s="102"/>
      <c r="F1" s="102"/>
      <c r="G1" s="102"/>
      <c r="H1" s="102"/>
      <c r="I1" s="102"/>
      <c r="J1" s="102"/>
      <c r="K1" s="103" t="s">
        <v>14</v>
      </c>
      <c r="L1" s="103"/>
      <c r="M1" s="103"/>
      <c r="N1" s="103"/>
      <c r="O1" s="103"/>
      <c r="P1" s="103"/>
      <c r="Q1" s="103"/>
      <c r="R1" s="103"/>
      <c r="S1" s="138" t="s">
        <v>15</v>
      </c>
      <c r="T1" s="138"/>
      <c r="U1" s="138"/>
      <c r="V1" s="138"/>
      <c r="W1" s="138"/>
      <c r="X1" s="138"/>
      <c r="Y1" s="138"/>
      <c r="Z1" s="138"/>
    </row>
    <row r="2" spans="1:27" x14ac:dyDescent="0.2">
      <c r="A2" s="7" t="s">
        <v>17</v>
      </c>
      <c r="B2" s="3" t="s">
        <v>12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4" t="s">
        <v>9</v>
      </c>
      <c r="I2" s="4" t="s">
        <v>10</v>
      </c>
      <c r="J2" s="4" t="s">
        <v>11</v>
      </c>
      <c r="K2" s="5" t="s">
        <v>4</v>
      </c>
      <c r="L2" s="5" t="s">
        <v>5</v>
      </c>
      <c r="M2" s="5" t="s">
        <v>6</v>
      </c>
      <c r="N2" s="5" t="s">
        <v>7</v>
      </c>
      <c r="O2" s="5" t="s">
        <v>8</v>
      </c>
      <c r="P2" s="5" t="s">
        <v>9</v>
      </c>
      <c r="Q2" s="5" t="s">
        <v>10</v>
      </c>
      <c r="R2" s="5" t="s">
        <v>11</v>
      </c>
      <c r="S2" s="6" t="s">
        <v>4</v>
      </c>
      <c r="T2" s="6" t="s">
        <v>5</v>
      </c>
      <c r="U2" s="6" t="s">
        <v>6</v>
      </c>
      <c r="V2" s="6" t="s">
        <v>7</v>
      </c>
      <c r="W2" s="6" t="s">
        <v>8</v>
      </c>
      <c r="X2" s="6" t="s">
        <v>9</v>
      </c>
      <c r="Y2" s="6" t="s">
        <v>10</v>
      </c>
      <c r="Z2" s="6" t="s">
        <v>11</v>
      </c>
      <c r="AA2" s="3" t="s">
        <v>19</v>
      </c>
    </row>
    <row r="3" spans="1:27" x14ac:dyDescent="0.2">
      <c r="A3" s="1">
        <f>RANK(AA3,$AA$3:$AA$42)</f>
        <v>1</v>
      </c>
      <c r="B3" s="3" t="str">
        <f>Parametros!D2</f>
        <v>Inter de Cartagena</v>
      </c>
      <c r="C3" s="4">
        <f>COUNTA(Resultados!C3:AP3)</f>
        <v>0</v>
      </c>
      <c r="D3" s="4">
        <f>COUNTIF('Resultados Auxiliar'!B3:AP3,"&gt;0")</f>
        <v>0</v>
      </c>
      <c r="E3" s="4">
        <f>COUNTIF('Resultados Auxiliar'!B3:AP3,"=0")</f>
        <v>0</v>
      </c>
      <c r="F3" s="4">
        <f>COUNTIF('Resultados Auxiliar'!B3:AP3,"&lt;0")</f>
        <v>0</v>
      </c>
      <c r="G3" s="4">
        <f t="array" ref="G3">SUM(IF(ISNUMBER(--LEFT(Resultados!C3:AP3,FIND("-",Resultados!C3:AP3)-1)),--LEFT(Resultados!C3:AP3,FIND("-",Resultados!C3:AP3)-1)))</f>
        <v>0</v>
      </c>
      <c r="H3" s="4">
        <f t="array" ref="H3">SUM(IF(ISNUMBER(--RIGHT(Resultados!C3:AP3,(LEN(Resultados!C3:AP3)-FIND("-",Resultados!C3:AP3)))),--RIGHT(Resultados!C3:AP3,(LEN(Resultados!C3:AP3)-FIND("-",Resultados!C3:AP3)))))</f>
        <v>0</v>
      </c>
      <c r="I3" s="4">
        <f t="shared" ref="I3:I8" si="0">G3-H3</f>
        <v>0</v>
      </c>
      <c r="J3" s="4">
        <f t="shared" ref="J3:J8" si="1">D3*Partido_ganado+E3*Partido_empatado+F3*Partido_perdido</f>
        <v>0</v>
      </c>
      <c r="K3" s="5">
        <f>COUNTA(INDEX(Resultados!$A$3:$AP$42,,ROW()))</f>
        <v>0</v>
      </c>
      <c r="L3" s="5">
        <f>COUNTIF(INDEX('Resultados Auxiliar'!$B$3:$AO$42,,ROW()-2),"&lt;0")</f>
        <v>0</v>
      </c>
      <c r="M3" s="5">
        <f>COUNTIF(INDEX('Resultados Auxiliar'!$B$3:$AO$42,,ROW()-2),"=0")</f>
        <v>0</v>
      </c>
      <c r="N3" s="17">
        <f>COUNTIF(INDEX('Resultados Auxiliar'!$B$3:$AO$42,,ROW()-2),"&gt;0")</f>
        <v>0</v>
      </c>
      <c r="O3" s="5">
        <f t="array" ref="O3">SUM(IF(ISNUMBER(--RIGHT(rngVisitante,(LEN(rngVisitante)-FIND("-",rngVisitante)))),--RIGHT(rngVisitante,(LEN(rngVisitante)-FIND("-",rngVisitante)))))</f>
        <v>0</v>
      </c>
      <c r="P3" s="5">
        <f t="array" ref="P3">SUM(IF(ISNUMBER(--LEFT(rngVisitante,FIND("-",rngVisitante)-1)),--LEFT(rngVisitante,FIND("-",rngVisitante)-1)))</f>
        <v>0</v>
      </c>
      <c r="Q3" s="5">
        <f t="shared" ref="Q3:Q8" si="2">O3-P3</f>
        <v>0</v>
      </c>
      <c r="R3" s="5">
        <f t="shared" ref="R3:R8" si="3">L3*Partido_ganado+M3*Partido_empatado+N3*Partido_perdido</f>
        <v>0</v>
      </c>
      <c r="S3" s="6">
        <f t="shared" ref="S3:V8" si="4">C3+K3</f>
        <v>0</v>
      </c>
      <c r="T3" s="6">
        <f t="shared" si="4"/>
        <v>0</v>
      </c>
      <c r="U3" s="6">
        <f t="shared" si="4"/>
        <v>0</v>
      </c>
      <c r="V3" s="6">
        <f t="shared" si="4"/>
        <v>0</v>
      </c>
      <c r="W3" s="6">
        <f t="shared" ref="W3:W8" si="5">G3+O3</f>
        <v>0</v>
      </c>
      <c r="X3" s="6">
        <f t="shared" ref="X3:X8" si="6">H3+P3</f>
        <v>0</v>
      </c>
      <c r="Y3" s="6">
        <f t="shared" ref="Y3:Y8" si="7">I3+Q3</f>
        <v>0</v>
      </c>
      <c r="Z3" s="6">
        <f t="shared" ref="Z3:Z8" si="8">J3+R3</f>
        <v>0</v>
      </c>
      <c r="AA3" s="33">
        <f t="shared" ref="AA3:AA8" si="9">IF(S3=0,-2000000-ROW(),Z3*10000000+Y3*10000+W3*100+(30-ROW()))</f>
        <v>-2000003</v>
      </c>
    </row>
    <row r="4" spans="1:27" x14ac:dyDescent="0.2">
      <c r="A4" s="1">
        <f t="shared" ref="A4:A42" si="10">RANK(AA4,$AA$3:$AA$42)</f>
        <v>2</v>
      </c>
      <c r="B4" s="3" t="str">
        <f>Parametros!D3</f>
        <v>Mate Bolivar FC</v>
      </c>
      <c r="C4" s="4">
        <f>COUNTA(Resultados!C4:AP4)</f>
        <v>0</v>
      </c>
      <c r="D4" s="4">
        <f>COUNTIF('Resultados Auxiliar'!B4:AP4,"&gt;0")</f>
        <v>0</v>
      </c>
      <c r="E4" s="4">
        <f>COUNTIF('Resultados Auxiliar'!B4:AP4,"=0")</f>
        <v>0</v>
      </c>
      <c r="F4" s="4">
        <f>COUNTIF('Resultados Auxiliar'!B4:AP4,"&lt;0")</f>
        <v>0</v>
      </c>
      <c r="G4" s="4">
        <f t="array" ref="G4">SUM(IF(ISNUMBER(--LEFT(Resultados!C4:AP4,FIND("-",Resultados!C4:AP4)-1)),--LEFT(Resultados!C4:AP4,FIND("-",Resultados!C4:AP4)-1)))</f>
        <v>0</v>
      </c>
      <c r="H4" s="4">
        <f t="array" ref="H4">SUM(IF(ISNUMBER(--RIGHT(Resultados!C4:AP4,(LEN(Resultados!C4:AP4)-FIND("-",Resultados!C4:AP4)))),--RIGHT(Resultados!C4:AP4,(LEN(Resultados!C4:AP4)-FIND("-",Resultados!C4:AP4)))))</f>
        <v>0</v>
      </c>
      <c r="I4" s="4">
        <f t="shared" si="0"/>
        <v>0</v>
      </c>
      <c r="J4" s="4">
        <f t="shared" si="1"/>
        <v>0</v>
      </c>
      <c r="K4" s="5">
        <f>COUNTA(INDEX(Resultados!$A$3:$AP$42,,ROW()))</f>
        <v>0</v>
      </c>
      <c r="L4" s="5">
        <f>COUNTIF(INDEX('Resultados Auxiliar'!$B$3:$AO$42,,ROW()-2),"&lt;0")</f>
        <v>0</v>
      </c>
      <c r="M4" s="5">
        <f>COUNTIF(INDEX('Resultados Auxiliar'!$B$3:$AO$42,,ROW()-2),"=0")</f>
        <v>0</v>
      </c>
      <c r="N4" s="17">
        <f>COUNTIF(INDEX('Resultados Auxiliar'!$B$3:$AO$42,,ROW()-2),"&gt;0")</f>
        <v>0</v>
      </c>
      <c r="O4" s="5">
        <f t="array" ref="O4">SUM(IF(ISNUMBER(--RIGHT(rngVisitante,(LEN(rngVisitante)-FIND("-",rngVisitante)))),--RIGHT(rngVisitante,(LEN(rngVisitante)-FIND("-",rngVisitante)))))</f>
        <v>0</v>
      </c>
      <c r="P4" s="5">
        <f t="array" ref="P4">SUM(IF(ISNUMBER(--LEFT(rngVisitante,FIND("-",rngVisitante)-1)),--LEFT(rngVisitante,FIND("-",rngVisitante)-1)))</f>
        <v>0</v>
      </c>
      <c r="Q4" s="5">
        <f t="shared" si="2"/>
        <v>0</v>
      </c>
      <c r="R4" s="5">
        <f t="shared" si="3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5"/>
        <v>0</v>
      </c>
      <c r="X4" s="6">
        <f t="shared" si="6"/>
        <v>0</v>
      </c>
      <c r="Y4" s="6">
        <f t="shared" si="7"/>
        <v>0</v>
      </c>
      <c r="Z4" s="6">
        <f t="shared" si="8"/>
        <v>0</v>
      </c>
      <c r="AA4" s="33">
        <f t="shared" si="9"/>
        <v>-2000004</v>
      </c>
    </row>
    <row r="5" spans="1:27" x14ac:dyDescent="0.2">
      <c r="A5" s="1">
        <f t="shared" si="10"/>
        <v>3</v>
      </c>
      <c r="B5" s="3" t="str">
        <f>Parametros!D4</f>
        <v>Palmo Fc</v>
      </c>
      <c r="C5" s="4">
        <f>COUNTA(Resultados!C5:AP5)</f>
        <v>0</v>
      </c>
      <c r="D5" s="4">
        <f>COUNTIF('Resultados Auxiliar'!B5:AP5,"&gt;0")</f>
        <v>0</v>
      </c>
      <c r="E5" s="4">
        <f>COUNTIF('Resultados Auxiliar'!B5:AP5,"=0")</f>
        <v>0</v>
      </c>
      <c r="F5" s="4">
        <f>COUNTIF('Resultados Auxiliar'!B5:AP5,"&lt;0")</f>
        <v>0</v>
      </c>
      <c r="G5" s="4">
        <f t="array" ref="G5">SUM(IF(ISNUMBER(--LEFT(Resultados!C5:AP5,FIND("-",Resultados!C5:AP5)-1)),--LEFT(Resultados!C5:AP5,FIND("-",Resultados!C5:AP5)-1)))</f>
        <v>0</v>
      </c>
      <c r="H5" s="4">
        <f t="array" ref="H5">SUM(IF(ISNUMBER(--RIGHT(Resultados!C5:AP5,(LEN(Resultados!C5:AP5)-FIND("-",Resultados!C5:AP5)))),--RIGHT(Resultados!C5:AP5,(LEN(Resultados!C5:AP5)-FIND("-",Resultados!C5:AP5)))))</f>
        <v>0</v>
      </c>
      <c r="I5" s="4">
        <f t="shared" si="0"/>
        <v>0</v>
      </c>
      <c r="J5" s="4">
        <f t="shared" si="1"/>
        <v>0</v>
      </c>
      <c r="K5" s="5">
        <f>COUNTA(INDEX(Resultados!$A$3:$AP$42,,ROW()))</f>
        <v>0</v>
      </c>
      <c r="L5" s="5">
        <f>COUNTIF(INDEX('Resultados Auxiliar'!$B$3:$AO$42,,ROW()-2),"&lt;0")</f>
        <v>0</v>
      </c>
      <c r="M5" s="5">
        <f>COUNTIF(INDEX('Resultados Auxiliar'!$B$3:$AO$42,,ROW()-2),"=0")</f>
        <v>0</v>
      </c>
      <c r="N5" s="17">
        <f>COUNTIF(INDEX('Resultados Auxiliar'!$B$3:$AO$42,,ROW()-2),"&gt;0")</f>
        <v>0</v>
      </c>
      <c r="O5" s="5">
        <f t="array" ref="O5">SUM(IF(ISNUMBER(--RIGHT(rngVisitante,(LEN(rngVisitante)-FIND("-",rngVisitante)))),--RIGHT(rngVisitante,(LEN(rngVisitante)-FIND("-",rngVisitante)))))</f>
        <v>0</v>
      </c>
      <c r="P5" s="5">
        <f t="array" ref="P5">SUM(IF(ISNUMBER(--LEFT(rngVisitante,FIND("-",rngVisitante)-1)),--LEFT(rngVisitante,FIND("-",rngVisitante)-1)))</f>
        <v>0</v>
      </c>
      <c r="Q5" s="5">
        <f t="shared" si="2"/>
        <v>0</v>
      </c>
      <c r="R5" s="5">
        <f t="shared" si="3"/>
        <v>0</v>
      </c>
      <c r="S5" s="6">
        <f t="shared" si="4"/>
        <v>0</v>
      </c>
      <c r="T5" s="6">
        <f t="shared" si="4"/>
        <v>0</v>
      </c>
      <c r="U5" s="6">
        <f t="shared" si="4"/>
        <v>0</v>
      </c>
      <c r="V5" s="6">
        <f t="shared" si="4"/>
        <v>0</v>
      </c>
      <c r="W5" s="6">
        <f t="shared" si="5"/>
        <v>0</v>
      </c>
      <c r="X5" s="6">
        <f t="shared" si="6"/>
        <v>0</v>
      </c>
      <c r="Y5" s="6">
        <f t="shared" si="7"/>
        <v>0</v>
      </c>
      <c r="Z5" s="6">
        <f t="shared" si="8"/>
        <v>0</v>
      </c>
      <c r="AA5" s="33">
        <f t="shared" si="9"/>
        <v>-2000005</v>
      </c>
    </row>
    <row r="6" spans="1:27" x14ac:dyDescent="0.2">
      <c r="A6" s="1">
        <f t="shared" si="10"/>
        <v>4</v>
      </c>
      <c r="B6" s="3" t="str">
        <f>Parametros!D5</f>
        <v>Los Amigos</v>
      </c>
      <c r="C6" s="4">
        <f>COUNTA(Resultados!C6:AP6)</f>
        <v>0</v>
      </c>
      <c r="D6" s="4">
        <f>COUNTIF('Resultados Auxiliar'!B6:AP6,"&gt;0")</f>
        <v>0</v>
      </c>
      <c r="E6" s="4">
        <f>COUNTIF('Resultados Auxiliar'!B6:AP6,"=0")</f>
        <v>0</v>
      </c>
      <c r="F6" s="4">
        <f>COUNTIF('Resultados Auxiliar'!B6:AP6,"&lt;0")</f>
        <v>0</v>
      </c>
      <c r="G6" s="4">
        <f t="array" ref="G6">SUM(IF(ISNUMBER(--LEFT(Resultados!C6:AP6,FIND("-",Resultados!C6:AP6)-1)),--LEFT(Resultados!C6:AP6,FIND("-",Resultados!C6:AP6)-1)))</f>
        <v>0</v>
      </c>
      <c r="H6" s="4">
        <f t="array" ref="H6">SUM(IF(ISNUMBER(--RIGHT(Resultados!C6:AP6,(LEN(Resultados!C6:AP6)-FIND("-",Resultados!C6:AP6)))),--RIGHT(Resultados!C6:AP6,(LEN(Resultados!C6:AP6)-FIND("-",Resultados!C6:AP6)))))</f>
        <v>0</v>
      </c>
      <c r="I6" s="4">
        <f t="shared" si="0"/>
        <v>0</v>
      </c>
      <c r="J6" s="4">
        <f t="shared" si="1"/>
        <v>0</v>
      </c>
      <c r="K6" s="5">
        <f>COUNTA(INDEX(Resultados!$A$3:$AP$42,,ROW()))</f>
        <v>0</v>
      </c>
      <c r="L6" s="5">
        <f>COUNTIF(INDEX('Resultados Auxiliar'!$B$3:$AO$42,,ROW()-2),"&lt;0")</f>
        <v>0</v>
      </c>
      <c r="M6" s="5">
        <f>COUNTIF(INDEX('Resultados Auxiliar'!$B$3:$AO$42,,ROW()-2),"=0")</f>
        <v>0</v>
      </c>
      <c r="N6" s="17">
        <f>COUNTIF(INDEX('Resultados Auxiliar'!$B$3:$AO$42,,ROW()-2),"&gt;0")</f>
        <v>0</v>
      </c>
      <c r="O6" s="5">
        <f t="array" ref="O6">SUM(IF(ISNUMBER(--RIGHT(rngVisitante,(LEN(rngVisitante)-FIND("-",rngVisitante)))),--RIGHT(rngVisitante,(LEN(rngVisitante)-FIND("-",rngVisitante)))))</f>
        <v>0</v>
      </c>
      <c r="P6" s="5">
        <f t="array" ref="P6">SUM(IF(ISNUMBER(--LEFT(rngVisitante,FIND("-",rngVisitante)-1)),--LEFT(rngVisitante,FIND("-",rngVisitante)-1)))</f>
        <v>0</v>
      </c>
      <c r="Q6" s="5">
        <f t="shared" si="2"/>
        <v>0</v>
      </c>
      <c r="R6" s="5">
        <f t="shared" si="3"/>
        <v>0</v>
      </c>
      <c r="S6" s="6">
        <f t="shared" si="4"/>
        <v>0</v>
      </c>
      <c r="T6" s="6">
        <f t="shared" si="4"/>
        <v>0</v>
      </c>
      <c r="U6" s="6">
        <f t="shared" si="4"/>
        <v>0</v>
      </c>
      <c r="V6" s="6">
        <f t="shared" si="4"/>
        <v>0</v>
      </c>
      <c r="W6" s="6">
        <f t="shared" si="5"/>
        <v>0</v>
      </c>
      <c r="X6" s="6">
        <f t="shared" si="6"/>
        <v>0</v>
      </c>
      <c r="Y6" s="6">
        <f t="shared" si="7"/>
        <v>0</v>
      </c>
      <c r="Z6" s="6">
        <f t="shared" si="8"/>
        <v>0</v>
      </c>
      <c r="AA6" s="33">
        <f t="shared" si="9"/>
        <v>-2000006</v>
      </c>
    </row>
    <row r="7" spans="1:27" x14ac:dyDescent="0.2">
      <c r="A7" s="1">
        <f t="shared" si="10"/>
        <v>5</v>
      </c>
      <c r="B7" s="3" t="str">
        <f>Parametros!D6</f>
        <v>Zamba</v>
      </c>
      <c r="C7" s="4">
        <f>COUNTA(Resultados!C7:AP7)</f>
        <v>0</v>
      </c>
      <c r="D7" s="4">
        <f>COUNTIF('Resultados Auxiliar'!B7:AP7,"&gt;0")</f>
        <v>0</v>
      </c>
      <c r="E7" s="4">
        <f>COUNTIF('Resultados Auxiliar'!B7:AP7,"=0")</f>
        <v>0</v>
      </c>
      <c r="F7" s="4">
        <f>COUNTIF('Resultados Auxiliar'!B7:AP7,"&lt;0")</f>
        <v>0</v>
      </c>
      <c r="G7" s="4">
        <f t="array" ref="G7">SUM(IF(ISNUMBER(--LEFT(Resultados!C7:AP7,FIND("-",Resultados!C7:AP7)-1)),--LEFT(Resultados!C7:AP7,FIND("-",Resultados!C7:AP7)-1)))</f>
        <v>0</v>
      </c>
      <c r="H7" s="4">
        <f t="array" ref="H7">SUM(IF(ISNUMBER(--RIGHT(Resultados!C7:AP7,(LEN(Resultados!C7:AP7)-FIND("-",Resultados!C7:AP7)))),--RIGHT(Resultados!C7:AP7,(LEN(Resultados!C7:AP7)-FIND("-",Resultados!C7:AP7)))))</f>
        <v>0</v>
      </c>
      <c r="I7" s="4">
        <f t="shared" si="0"/>
        <v>0</v>
      </c>
      <c r="J7" s="4">
        <f>D7*Partido_ganado+E7*Partido_empatado+F7*Partido_perdido</f>
        <v>0</v>
      </c>
      <c r="K7" s="5">
        <f>COUNTA(INDEX(Resultados!$A$3:$AP$42,,ROW()))</f>
        <v>0</v>
      </c>
      <c r="L7" s="5">
        <f>COUNTIF(INDEX('Resultados Auxiliar'!$B$3:$AO$42,,ROW()-2),"&lt;0")</f>
        <v>0</v>
      </c>
      <c r="M7" s="5">
        <f>COUNTIF(INDEX('Resultados Auxiliar'!$B$3:$AO$42,,ROW()-2),"=0")</f>
        <v>0</v>
      </c>
      <c r="N7" s="17">
        <f>COUNTIF(INDEX('Resultados Auxiliar'!$B$3:$AO$42,,ROW()-2),"&gt;0")</f>
        <v>0</v>
      </c>
      <c r="O7" s="5">
        <f t="array" ref="O7">SUM(IF(ISNUMBER(--RIGHT(rngVisitante,(LEN(rngVisitante)-FIND("-",rngVisitante)))),--RIGHT(rngVisitante,(LEN(rngVisitante)-FIND("-",rngVisitante)))))</f>
        <v>0</v>
      </c>
      <c r="P7" s="5">
        <f t="array" ref="P7">SUM(IF(ISNUMBER(--LEFT(rngVisitante,FIND("-",rngVisitante)-1)),--LEFT(rngVisitante,FIND("-",rngVisitante)-1)))</f>
        <v>0</v>
      </c>
      <c r="Q7" s="5">
        <f t="shared" si="2"/>
        <v>0</v>
      </c>
      <c r="R7" s="5">
        <f>L7*Partido_ganado+M7*Partido_empatado+N7*Partido_perdido</f>
        <v>0</v>
      </c>
      <c r="S7" s="6">
        <f>C7+K7</f>
        <v>0</v>
      </c>
      <c r="T7" s="6">
        <f>D7+L7</f>
        <v>0</v>
      </c>
      <c r="U7" s="6">
        <f>E7+M7</f>
        <v>0</v>
      </c>
      <c r="V7" s="6">
        <f>F7+N7</f>
        <v>0</v>
      </c>
      <c r="W7" s="6">
        <f t="shared" si="5"/>
        <v>0</v>
      </c>
      <c r="X7" s="6">
        <f t="shared" si="6"/>
        <v>0</v>
      </c>
      <c r="Y7" s="6">
        <f>I7+Q7</f>
        <v>0</v>
      </c>
      <c r="Z7" s="6">
        <f>J7+R7</f>
        <v>0</v>
      </c>
      <c r="AA7" s="33">
        <f t="shared" si="9"/>
        <v>-2000007</v>
      </c>
    </row>
    <row r="8" spans="1:27" x14ac:dyDescent="0.2">
      <c r="A8" s="1">
        <f t="shared" si="10"/>
        <v>6</v>
      </c>
      <c r="B8" s="3" t="str">
        <f>Parametros!D7</f>
        <v>Colonia Carmera</v>
      </c>
      <c r="C8" s="4">
        <f>COUNTA(Resultados!C8:AP8)</f>
        <v>0</v>
      </c>
      <c r="D8" s="4">
        <f>COUNTIF('Resultados Auxiliar'!B8:AP8,"&gt;0")</f>
        <v>0</v>
      </c>
      <c r="E8" s="4">
        <f>COUNTIF('Resultados Auxiliar'!B8:AP8,"=0")</f>
        <v>0</v>
      </c>
      <c r="F8" s="4">
        <f>COUNTIF('Resultados Auxiliar'!B8:AP8,"&lt;0")</f>
        <v>0</v>
      </c>
      <c r="G8" s="4">
        <f t="array" ref="G8">SUM(IF(ISNUMBER(--LEFT(Resultados!C8:AP8,FIND("-",Resultados!C8:AP8)-1)),--LEFT(Resultados!C8:AP8,FIND("-",Resultados!C8:AP8)-1)))</f>
        <v>0</v>
      </c>
      <c r="H8" s="4">
        <f t="array" ref="H8">SUM(IF(ISNUMBER(--RIGHT(Resultados!C8:AP8,(LEN(Resultados!C8:AP8)-FIND("-",Resultados!C8:AP8)))),--RIGHT(Resultados!C8:AP8,(LEN(Resultados!C8:AP8)-FIND("-",Resultados!C8:AP8)))))</f>
        <v>0</v>
      </c>
      <c r="I8" s="4">
        <f t="shared" si="0"/>
        <v>0</v>
      </c>
      <c r="J8" s="4">
        <f t="shared" si="1"/>
        <v>0</v>
      </c>
      <c r="K8" s="5">
        <f>COUNTA(INDEX(Resultados!$A$3:$AP$42,,ROW()))</f>
        <v>0</v>
      </c>
      <c r="L8" s="5">
        <f>COUNTIF(INDEX('Resultados Auxiliar'!$B$3:$AO$42,,ROW()-2),"&lt;0")</f>
        <v>0</v>
      </c>
      <c r="M8" s="5">
        <f>COUNTIF(INDEX('Resultados Auxiliar'!$B$3:$AO$42,,ROW()-2),"=0")</f>
        <v>0</v>
      </c>
      <c r="N8" s="17">
        <f>COUNTIF(INDEX('Resultados Auxiliar'!$B$3:$AO$42,,ROW()-2),"&gt;0")</f>
        <v>0</v>
      </c>
      <c r="O8" s="5">
        <f t="array" ref="O8">SUM(IF(ISNUMBER(--RIGHT(rngVisitante,(LEN(rngVisitante)-FIND("-",rngVisitante)))),--RIGHT(rngVisitante,(LEN(rngVisitante)-FIND("-",rngVisitante)))))</f>
        <v>0</v>
      </c>
      <c r="P8" s="5">
        <f t="array" ref="P8">SUM(IF(ISNUMBER(--LEFT(rngVisitante,FIND("-",rngVisitante)-1)),--LEFT(rngVisitante,FIND("-",rngVisitante)-1)))</f>
        <v>0</v>
      </c>
      <c r="Q8" s="5">
        <f t="shared" si="2"/>
        <v>0</v>
      </c>
      <c r="R8" s="5">
        <f t="shared" si="3"/>
        <v>0</v>
      </c>
      <c r="S8" s="6">
        <f t="shared" si="4"/>
        <v>0</v>
      </c>
      <c r="T8" s="6">
        <f t="shared" si="4"/>
        <v>0</v>
      </c>
      <c r="U8" s="6">
        <f t="shared" si="4"/>
        <v>0</v>
      </c>
      <c r="V8" s="6">
        <f t="shared" si="4"/>
        <v>0</v>
      </c>
      <c r="W8" s="6">
        <f t="shared" si="5"/>
        <v>0</v>
      </c>
      <c r="X8" s="6">
        <f t="shared" si="6"/>
        <v>0</v>
      </c>
      <c r="Y8" s="6">
        <f t="shared" si="7"/>
        <v>0</v>
      </c>
      <c r="Z8" s="6">
        <f t="shared" si="8"/>
        <v>0</v>
      </c>
      <c r="AA8" s="33">
        <f t="shared" si="9"/>
        <v>-2000008</v>
      </c>
    </row>
    <row r="9" spans="1:27" x14ac:dyDescent="0.2">
      <c r="A9" s="1">
        <f t="shared" si="10"/>
        <v>7</v>
      </c>
      <c r="B9" s="3" t="str">
        <f>Parametros!D8</f>
        <v>Familia Real</v>
      </c>
      <c r="C9" s="4">
        <f>COUNTA(Resultados!C9:AP9)</f>
        <v>0</v>
      </c>
      <c r="D9" s="4">
        <f>COUNTIF('Resultados Auxiliar'!B9:AP9,"&gt;0")</f>
        <v>0</v>
      </c>
      <c r="E9" s="4">
        <f>COUNTIF('Resultados Auxiliar'!B9:AP9,"=0")</f>
        <v>0</v>
      </c>
      <c r="F9" s="4">
        <f>COUNTIF('Resultados Auxiliar'!B9:AP9,"&lt;0")</f>
        <v>0</v>
      </c>
      <c r="G9" s="4">
        <f t="array" ref="G9">SUM(IF(ISNUMBER(--LEFT(Resultados!C9:AP9,FIND("-",Resultados!C9:AP9)-1)),--LEFT(Resultados!C9:AP9,FIND("-",Resultados!C9:AP9)-1)))</f>
        <v>0</v>
      </c>
      <c r="H9" s="4">
        <f t="array" ref="H9">SUM(IF(ISNUMBER(--RIGHT(Resultados!C9:AP9,(LEN(Resultados!C9:AP9)-FIND("-",Resultados!C9:AP9)))),--RIGHT(Resultados!C9:AP9,(LEN(Resultados!C9:AP9)-FIND("-",Resultados!C9:AP9)))))</f>
        <v>0</v>
      </c>
      <c r="I9" s="4">
        <f t="shared" ref="I9:I17" si="11">G9-H9</f>
        <v>0</v>
      </c>
      <c r="J9" s="4">
        <f t="shared" ref="J9:J17" si="12">D9*Partido_ganado+E9*Partido_empatado+F9*Partido_perdido</f>
        <v>0</v>
      </c>
      <c r="K9" s="5">
        <f>COUNTA(INDEX(Resultados!$A$3:$AP$42,,ROW()))</f>
        <v>0</v>
      </c>
      <c r="L9" s="5">
        <f>COUNTIF(INDEX('Resultados Auxiliar'!$B$3:$AO$42,,ROW()-2),"&lt;0")</f>
        <v>0</v>
      </c>
      <c r="M9" s="5">
        <f>COUNTIF(INDEX('Resultados Auxiliar'!$B$3:$AO$42,,ROW()-2),"=0")</f>
        <v>0</v>
      </c>
      <c r="N9" s="17">
        <f>COUNTIF(INDEX('Resultados Auxiliar'!$B$3:$AO$42,,ROW()-2),"&gt;0")</f>
        <v>0</v>
      </c>
      <c r="O9" s="5">
        <f t="array" ref="O9">SUM(IF(ISNUMBER(--RIGHT(rngVisitante,(LEN(rngVisitante)-FIND("-",rngVisitante)))),--RIGHT(rngVisitante,(LEN(rngVisitante)-FIND("-",rngVisitante)))))</f>
        <v>0</v>
      </c>
      <c r="P9" s="5">
        <f t="array" ref="P9">SUM(IF(ISNUMBER(--LEFT(rngVisitante,FIND("-",rngVisitante)-1)),--LEFT(rngVisitante,FIND("-",rngVisitante)-1)))</f>
        <v>0</v>
      </c>
      <c r="Q9" s="5">
        <f t="shared" ref="Q9:Q17" si="13">O9-P9</f>
        <v>0</v>
      </c>
      <c r="R9" s="5">
        <f t="shared" ref="R9:R17" si="14">L9*Partido_ganado+M9*Partido_empatado+N9*Partido_perdido</f>
        <v>0</v>
      </c>
      <c r="S9" s="6">
        <f t="shared" ref="S9:S17" si="15">C9+K9</f>
        <v>0</v>
      </c>
      <c r="T9" s="6">
        <f t="shared" ref="T9:T17" si="16">D9+L9</f>
        <v>0</v>
      </c>
      <c r="U9" s="6">
        <f t="shared" ref="U9:U17" si="17">E9+M9</f>
        <v>0</v>
      </c>
      <c r="V9" s="6">
        <f t="shared" ref="V9:V17" si="18">F9+N9</f>
        <v>0</v>
      </c>
      <c r="W9" s="6">
        <f t="shared" ref="W9:W17" si="19">G9+O9</f>
        <v>0</v>
      </c>
      <c r="X9" s="6">
        <f t="shared" ref="X9:X17" si="20">H9+P9</f>
        <v>0</v>
      </c>
      <c r="Y9" s="6">
        <f t="shared" ref="Y9:Y17" si="21">I9+Q9</f>
        <v>0</v>
      </c>
      <c r="Z9" s="6">
        <f t="shared" ref="Z9:Z17" si="22">J9+R9</f>
        <v>0</v>
      </c>
      <c r="AA9" s="33">
        <f t="shared" ref="AA9:AA17" si="23">IF(S9=0,-2000000-ROW(),Z9*10000000+Y9*10000+W9*100+(30-ROW()))</f>
        <v>-2000009</v>
      </c>
    </row>
    <row r="10" spans="1:27" x14ac:dyDescent="0.2">
      <c r="A10" s="1">
        <f t="shared" si="10"/>
        <v>8</v>
      </c>
      <c r="B10" s="3" t="str">
        <f>Parametros!D9</f>
        <v>Clase Aparte</v>
      </c>
      <c r="C10" s="4">
        <f>COUNTA(Resultados!C10:AP10)</f>
        <v>0</v>
      </c>
      <c r="D10" s="4">
        <f>COUNTIF('Resultados Auxiliar'!B10:AP10,"&gt;0")</f>
        <v>0</v>
      </c>
      <c r="E10" s="4">
        <f>COUNTIF('Resultados Auxiliar'!B10:AP10,"=0")</f>
        <v>0</v>
      </c>
      <c r="F10" s="4">
        <f>COUNTIF('Resultados Auxiliar'!B10:AP10,"&lt;0")</f>
        <v>0</v>
      </c>
      <c r="G10" s="4">
        <f t="array" ref="G10">SUM(IF(ISNUMBER(--LEFT(Resultados!C10:AP10,FIND("-",Resultados!C10:AP10)-1)),--LEFT(Resultados!C10:AP10,FIND("-",Resultados!C10:AP10)-1)))</f>
        <v>0</v>
      </c>
      <c r="H10" s="4">
        <f t="array" ref="H10">SUM(IF(ISNUMBER(--RIGHT(Resultados!C10:AP10,(LEN(Resultados!C10:AP10)-FIND("-",Resultados!C10:AP10)))),--RIGHT(Resultados!C10:AP10,(LEN(Resultados!C10:AP10)-FIND("-",Resultados!C10:AP10)))))</f>
        <v>0</v>
      </c>
      <c r="I10" s="4">
        <f t="shared" si="11"/>
        <v>0</v>
      </c>
      <c r="J10" s="4">
        <f t="shared" si="12"/>
        <v>0</v>
      </c>
      <c r="K10" s="5">
        <f>COUNTA(INDEX(Resultados!$A$3:$AP$42,,ROW()))</f>
        <v>0</v>
      </c>
      <c r="L10" s="5">
        <f>COUNTIF(INDEX('Resultados Auxiliar'!$B$3:$AO$42,,ROW()-2),"&lt;0")</f>
        <v>0</v>
      </c>
      <c r="M10" s="5">
        <f>COUNTIF(INDEX('Resultados Auxiliar'!$B$3:$AO$42,,ROW()-2),"=0")</f>
        <v>0</v>
      </c>
      <c r="N10" s="17">
        <f>COUNTIF(INDEX('Resultados Auxiliar'!$B$3:$AO$42,,ROW()-2),"&gt;0")</f>
        <v>0</v>
      </c>
      <c r="O10" s="5">
        <f t="array" ref="O10">SUM(IF(ISNUMBER(--RIGHT(rngVisitante,(LEN(rngVisitante)-FIND("-",rngVisitante)))),--RIGHT(rngVisitante,(LEN(rngVisitante)-FIND("-",rngVisitante)))))</f>
        <v>0</v>
      </c>
      <c r="P10" s="5">
        <f t="array" ref="P10">SUM(IF(ISNUMBER(--LEFT(rngVisitante,FIND("-",rngVisitante)-1)),--LEFT(rngVisitante,FIND("-",rngVisitante)-1)))</f>
        <v>0</v>
      </c>
      <c r="Q10" s="5">
        <f t="shared" si="13"/>
        <v>0</v>
      </c>
      <c r="R10" s="5">
        <f t="shared" si="14"/>
        <v>0</v>
      </c>
      <c r="S10" s="6">
        <f t="shared" si="15"/>
        <v>0</v>
      </c>
      <c r="T10" s="6">
        <f t="shared" si="16"/>
        <v>0</v>
      </c>
      <c r="U10" s="6">
        <f t="shared" si="17"/>
        <v>0</v>
      </c>
      <c r="V10" s="6">
        <f t="shared" si="18"/>
        <v>0</v>
      </c>
      <c r="W10" s="6">
        <f t="shared" si="19"/>
        <v>0</v>
      </c>
      <c r="X10" s="6">
        <f t="shared" si="20"/>
        <v>0</v>
      </c>
      <c r="Y10" s="6">
        <f t="shared" si="21"/>
        <v>0</v>
      </c>
      <c r="Z10" s="6">
        <f t="shared" si="22"/>
        <v>0</v>
      </c>
      <c r="AA10" s="33">
        <f t="shared" si="23"/>
        <v>-2000010</v>
      </c>
    </row>
    <row r="11" spans="1:27" x14ac:dyDescent="0.2">
      <c r="A11" s="1">
        <f t="shared" si="10"/>
        <v>9</v>
      </c>
      <c r="B11" s="3" t="str">
        <f>Parametros!D10</f>
        <v>Heroicos</v>
      </c>
      <c r="C11" s="4">
        <f>COUNTA(Resultados!C11:AP11)</f>
        <v>0</v>
      </c>
      <c r="D11" s="4">
        <f>COUNTIF('Resultados Auxiliar'!B11:AP11,"&gt;0")</f>
        <v>0</v>
      </c>
      <c r="E11" s="4">
        <f>COUNTIF('Resultados Auxiliar'!B11:AP11,"=0")</f>
        <v>0</v>
      </c>
      <c r="F11" s="4">
        <f>COUNTIF('Resultados Auxiliar'!B11:AP11,"&lt;0")</f>
        <v>0</v>
      </c>
      <c r="G11" s="4">
        <f t="array" ref="G11">SUM(IF(ISNUMBER(--LEFT(Resultados!C11:AP11,FIND("-",Resultados!C11:AP11)-1)),--LEFT(Resultados!C11:AP11,FIND("-",Resultados!C11:AP11)-1)))</f>
        <v>0</v>
      </c>
      <c r="H11" s="4">
        <f t="array" ref="H11">SUM(IF(ISNUMBER(--RIGHT(Resultados!C11:AP11,(LEN(Resultados!C11:AP11)-FIND("-",Resultados!C11:AP11)))),--RIGHT(Resultados!C11:AP11,(LEN(Resultados!C11:AP11)-FIND("-",Resultados!C11:AP11)))))</f>
        <v>0</v>
      </c>
      <c r="I11" s="4">
        <f t="shared" si="11"/>
        <v>0</v>
      </c>
      <c r="J11" s="4">
        <f t="shared" si="12"/>
        <v>0</v>
      </c>
      <c r="K11" s="5">
        <f>COUNTA(INDEX(Resultados!$A$3:$AP$42,,ROW()))</f>
        <v>0</v>
      </c>
      <c r="L11" s="5">
        <f>COUNTIF(INDEX('Resultados Auxiliar'!$B$3:$AO$42,,ROW()-2),"&lt;0")</f>
        <v>0</v>
      </c>
      <c r="M11" s="5">
        <f>COUNTIF(INDEX('Resultados Auxiliar'!$B$3:$AO$42,,ROW()-2),"=0")</f>
        <v>0</v>
      </c>
      <c r="N11" s="17">
        <f>COUNTIF(INDEX('Resultados Auxiliar'!$B$3:$AO$42,,ROW()-2),"&gt;0")</f>
        <v>0</v>
      </c>
      <c r="O11" s="5">
        <f t="array" ref="O11">SUM(IF(ISNUMBER(--RIGHT(rngVisitante,(LEN(rngVisitante)-FIND("-",rngVisitante)))),--RIGHT(rngVisitante,(LEN(rngVisitante)-FIND("-",rngVisitante)))))</f>
        <v>0</v>
      </c>
      <c r="P11" s="5">
        <f t="array" ref="P11">SUM(IF(ISNUMBER(--LEFT(rngVisitante,FIND("-",rngVisitante)-1)),--LEFT(rngVisitante,FIND("-",rngVisitante)-1)))</f>
        <v>0</v>
      </c>
      <c r="Q11" s="5">
        <f t="shared" si="13"/>
        <v>0</v>
      </c>
      <c r="R11" s="5">
        <f t="shared" si="14"/>
        <v>0</v>
      </c>
      <c r="S11" s="6">
        <f t="shared" si="15"/>
        <v>0</v>
      </c>
      <c r="T11" s="6">
        <f t="shared" si="16"/>
        <v>0</v>
      </c>
      <c r="U11" s="6">
        <f t="shared" si="17"/>
        <v>0</v>
      </c>
      <c r="V11" s="6">
        <f t="shared" si="18"/>
        <v>0</v>
      </c>
      <c r="W11" s="6">
        <f t="shared" si="19"/>
        <v>0</v>
      </c>
      <c r="X11" s="6">
        <f t="shared" si="20"/>
        <v>0</v>
      </c>
      <c r="Y11" s="6">
        <f t="shared" si="21"/>
        <v>0</v>
      </c>
      <c r="Z11" s="6">
        <f t="shared" si="22"/>
        <v>0</v>
      </c>
      <c r="AA11" s="33">
        <f t="shared" si="23"/>
        <v>-2000011</v>
      </c>
    </row>
    <row r="12" spans="1:27" x14ac:dyDescent="0.2">
      <c r="A12" s="1">
        <f t="shared" si="10"/>
        <v>10</v>
      </c>
      <c r="B12" s="3">
        <f>Parametros!D11</f>
        <v>0</v>
      </c>
      <c r="C12" s="4">
        <f>COUNTA(Resultados!C12:AP12)</f>
        <v>0</v>
      </c>
      <c r="D12" s="4">
        <f>COUNTIF('Resultados Auxiliar'!B12:AP12,"&gt;0")</f>
        <v>0</v>
      </c>
      <c r="E12" s="4">
        <f>COUNTIF('Resultados Auxiliar'!B12:AP12,"=0")</f>
        <v>0</v>
      </c>
      <c r="F12" s="4">
        <f>COUNTIF('Resultados Auxiliar'!B12:AP12,"&lt;0")</f>
        <v>0</v>
      </c>
      <c r="G12" s="4">
        <f t="array" ref="G12">SUM(IF(ISNUMBER(--LEFT(Resultados!C12:AP12,FIND("-",Resultados!C12:AP12)-1)),--LEFT(Resultados!C12:AP12,FIND("-",Resultados!C12:AP12)-1)))</f>
        <v>0</v>
      </c>
      <c r="H12" s="4">
        <f t="array" ref="H12">SUM(IF(ISNUMBER(--RIGHT(Resultados!C12:AP12,(LEN(Resultados!C12:AP12)-FIND("-",Resultados!C12:AP12)))),--RIGHT(Resultados!C12:AP12,(LEN(Resultados!C12:AP12)-FIND("-",Resultados!C12:AP12)))))</f>
        <v>0</v>
      </c>
      <c r="I12" s="4">
        <f t="shared" si="11"/>
        <v>0</v>
      </c>
      <c r="J12" s="4">
        <f t="shared" si="12"/>
        <v>0</v>
      </c>
      <c r="K12" s="5">
        <f>COUNTA(INDEX(Resultados!$A$3:$AP$42,,ROW()))</f>
        <v>0</v>
      </c>
      <c r="L12" s="5">
        <f>COUNTIF(INDEX('Resultados Auxiliar'!$B$3:$AO$42,,ROW()-2),"&lt;0")</f>
        <v>0</v>
      </c>
      <c r="M12" s="5">
        <f>COUNTIF(INDEX('Resultados Auxiliar'!$B$3:$AO$42,,ROW()-2),"=0")</f>
        <v>0</v>
      </c>
      <c r="N12" s="17">
        <f>COUNTIF(INDEX('Resultados Auxiliar'!$B$3:$AO$42,,ROW()-2),"&gt;0")</f>
        <v>0</v>
      </c>
      <c r="O12" s="5">
        <f t="array" ref="O12">SUM(IF(ISNUMBER(--RIGHT(rngVisitante,(LEN(rngVisitante)-FIND("-",rngVisitante)))),--RIGHT(rngVisitante,(LEN(rngVisitante)-FIND("-",rngVisitante)))))</f>
        <v>0</v>
      </c>
      <c r="P12" s="5">
        <f t="array" ref="P12">SUM(IF(ISNUMBER(--LEFT(rngVisitante,FIND("-",rngVisitante)-1)),--LEFT(rngVisitante,FIND("-",rngVisitante)-1)))</f>
        <v>0</v>
      </c>
      <c r="Q12" s="5">
        <f t="shared" si="13"/>
        <v>0</v>
      </c>
      <c r="R12" s="5">
        <f t="shared" si="14"/>
        <v>0</v>
      </c>
      <c r="S12" s="6">
        <f t="shared" si="15"/>
        <v>0</v>
      </c>
      <c r="T12" s="6">
        <f t="shared" si="16"/>
        <v>0</v>
      </c>
      <c r="U12" s="6">
        <f t="shared" si="17"/>
        <v>0</v>
      </c>
      <c r="V12" s="6">
        <f t="shared" si="18"/>
        <v>0</v>
      </c>
      <c r="W12" s="6">
        <f t="shared" si="19"/>
        <v>0</v>
      </c>
      <c r="X12" s="6">
        <f t="shared" si="20"/>
        <v>0</v>
      </c>
      <c r="Y12" s="6">
        <f t="shared" si="21"/>
        <v>0</v>
      </c>
      <c r="Z12" s="6">
        <f t="shared" si="22"/>
        <v>0</v>
      </c>
      <c r="AA12" s="33">
        <f t="shared" si="23"/>
        <v>-2000012</v>
      </c>
    </row>
    <row r="13" spans="1:27" x14ac:dyDescent="0.2">
      <c r="A13" s="1">
        <f t="shared" si="10"/>
        <v>11</v>
      </c>
      <c r="B13" s="3">
        <f>Parametros!D12</f>
        <v>0</v>
      </c>
      <c r="C13" s="4">
        <f>COUNTA(Resultados!C13:AP13)</f>
        <v>0</v>
      </c>
      <c r="D13" s="4">
        <f>COUNTIF('Resultados Auxiliar'!B13:AP13,"&gt;0")</f>
        <v>0</v>
      </c>
      <c r="E13" s="4">
        <f>COUNTIF('Resultados Auxiliar'!B13:AP13,"=0")</f>
        <v>0</v>
      </c>
      <c r="F13" s="4">
        <f>COUNTIF('Resultados Auxiliar'!B13:AP13,"&lt;0")</f>
        <v>0</v>
      </c>
      <c r="G13" s="4">
        <f t="array" ref="G13">SUM(IF(ISNUMBER(--LEFT(Resultados!C13:AP13,FIND("-",Resultados!C13:AP13)-1)),--LEFT(Resultados!C13:AP13,FIND("-",Resultados!C13:AP13)-1)))</f>
        <v>0</v>
      </c>
      <c r="H13" s="4">
        <f t="array" ref="H13">SUM(IF(ISNUMBER(--RIGHT(Resultados!C13:AP13,(LEN(Resultados!C13:AP13)-FIND("-",Resultados!C13:AP13)))),--RIGHT(Resultados!C13:AP13,(LEN(Resultados!C13:AP13)-FIND("-",Resultados!C13:AP13)))))</f>
        <v>0</v>
      </c>
      <c r="I13" s="4">
        <f t="shared" si="11"/>
        <v>0</v>
      </c>
      <c r="J13" s="4">
        <f t="shared" si="12"/>
        <v>0</v>
      </c>
      <c r="K13" s="5">
        <f>COUNTA(INDEX(Resultados!$A$3:$AP$42,,ROW()))</f>
        <v>0</v>
      </c>
      <c r="L13" s="5">
        <f>COUNTIF(INDEX('Resultados Auxiliar'!$B$3:$AO$42,,ROW()-2),"&lt;0")</f>
        <v>0</v>
      </c>
      <c r="M13" s="5">
        <f>COUNTIF(INDEX('Resultados Auxiliar'!$B$3:$AO$42,,ROW()-2),"=0")</f>
        <v>0</v>
      </c>
      <c r="N13" s="17">
        <f>COUNTIF(INDEX('Resultados Auxiliar'!$B$3:$AO$42,,ROW()-2),"&gt;0")</f>
        <v>0</v>
      </c>
      <c r="O13" s="5">
        <f t="array" ref="O13">SUM(IF(ISNUMBER(--RIGHT(rngVisitante,(LEN(rngVisitante)-FIND("-",rngVisitante)))),--RIGHT(rngVisitante,(LEN(rngVisitante)-FIND("-",rngVisitante)))))</f>
        <v>0</v>
      </c>
      <c r="P13" s="5">
        <f t="array" ref="P13">SUM(IF(ISNUMBER(--LEFT(rngVisitante,FIND("-",rngVisitante)-1)),--LEFT(rngVisitante,FIND("-",rngVisitante)-1)))</f>
        <v>0</v>
      </c>
      <c r="Q13" s="5">
        <f t="shared" si="13"/>
        <v>0</v>
      </c>
      <c r="R13" s="5">
        <f t="shared" si="14"/>
        <v>0</v>
      </c>
      <c r="S13" s="6">
        <f t="shared" si="15"/>
        <v>0</v>
      </c>
      <c r="T13" s="6">
        <f t="shared" si="16"/>
        <v>0</v>
      </c>
      <c r="U13" s="6">
        <f t="shared" si="17"/>
        <v>0</v>
      </c>
      <c r="V13" s="6">
        <f t="shared" si="18"/>
        <v>0</v>
      </c>
      <c r="W13" s="6">
        <f t="shared" si="19"/>
        <v>0</v>
      </c>
      <c r="X13" s="6">
        <f t="shared" si="20"/>
        <v>0</v>
      </c>
      <c r="Y13" s="6">
        <f t="shared" si="21"/>
        <v>0</v>
      </c>
      <c r="Z13" s="6">
        <f t="shared" si="22"/>
        <v>0</v>
      </c>
      <c r="AA13" s="33">
        <f t="shared" si="23"/>
        <v>-2000013</v>
      </c>
    </row>
    <row r="14" spans="1:27" x14ac:dyDescent="0.2">
      <c r="A14" s="1">
        <f t="shared" si="10"/>
        <v>12</v>
      </c>
      <c r="B14" s="3">
        <f>Parametros!D13</f>
        <v>0</v>
      </c>
      <c r="C14" s="4">
        <f>COUNTA(Resultados!C14:AP14)</f>
        <v>0</v>
      </c>
      <c r="D14" s="4">
        <f>COUNTIF('Resultados Auxiliar'!B14:AP14,"&gt;0")</f>
        <v>0</v>
      </c>
      <c r="E14" s="4">
        <f>COUNTIF('Resultados Auxiliar'!B14:AP14,"=0")</f>
        <v>0</v>
      </c>
      <c r="F14" s="4">
        <f>COUNTIF('Resultados Auxiliar'!B14:AP14,"&lt;0")</f>
        <v>0</v>
      </c>
      <c r="G14" s="4">
        <f t="array" ref="G14">SUM(IF(ISNUMBER(--LEFT(Resultados!C14:AP14,FIND("-",Resultados!C14:AP14)-1)),--LEFT(Resultados!C14:AP14,FIND("-",Resultados!C14:AP14)-1)))</f>
        <v>0</v>
      </c>
      <c r="H14" s="4">
        <f t="array" ref="H14">SUM(IF(ISNUMBER(--RIGHT(Resultados!C14:AP14,(LEN(Resultados!C14:AP14)-FIND("-",Resultados!C14:AP14)))),--RIGHT(Resultados!C14:AP14,(LEN(Resultados!C14:AP14)-FIND("-",Resultados!C14:AP14)))))</f>
        <v>0</v>
      </c>
      <c r="I14" s="4">
        <f t="shared" si="11"/>
        <v>0</v>
      </c>
      <c r="J14" s="4">
        <f t="shared" si="12"/>
        <v>0</v>
      </c>
      <c r="K14" s="5">
        <f>COUNTA(INDEX(Resultados!$A$3:$AP$42,,ROW()))</f>
        <v>0</v>
      </c>
      <c r="L14" s="5">
        <f>COUNTIF(INDEX('Resultados Auxiliar'!$B$3:$AO$42,,ROW()-2),"&lt;0")</f>
        <v>0</v>
      </c>
      <c r="M14" s="5">
        <f>COUNTIF(INDEX('Resultados Auxiliar'!$B$3:$AO$42,,ROW()-2),"=0")</f>
        <v>0</v>
      </c>
      <c r="N14" s="17">
        <f>COUNTIF(INDEX('Resultados Auxiliar'!$B$3:$AO$42,,ROW()-2),"&gt;0")</f>
        <v>0</v>
      </c>
      <c r="O14" s="5">
        <f t="array" ref="O14">SUM(IF(ISNUMBER(--RIGHT(rngVisitante,(LEN(rngVisitante)-FIND("-",rngVisitante)))),--RIGHT(rngVisitante,(LEN(rngVisitante)-FIND("-",rngVisitante)))))</f>
        <v>0</v>
      </c>
      <c r="P14" s="5">
        <f t="array" ref="P14">SUM(IF(ISNUMBER(--LEFT(rngVisitante,FIND("-",rngVisitante)-1)),--LEFT(rngVisitante,FIND("-",rngVisitante)-1)))</f>
        <v>0</v>
      </c>
      <c r="Q14" s="5">
        <f t="shared" si="13"/>
        <v>0</v>
      </c>
      <c r="R14" s="5">
        <f t="shared" si="14"/>
        <v>0</v>
      </c>
      <c r="S14" s="6">
        <f t="shared" si="15"/>
        <v>0</v>
      </c>
      <c r="T14" s="6">
        <f t="shared" si="16"/>
        <v>0</v>
      </c>
      <c r="U14" s="6">
        <f t="shared" si="17"/>
        <v>0</v>
      </c>
      <c r="V14" s="6">
        <f t="shared" si="18"/>
        <v>0</v>
      </c>
      <c r="W14" s="6">
        <f t="shared" si="19"/>
        <v>0</v>
      </c>
      <c r="X14" s="6">
        <f t="shared" si="20"/>
        <v>0</v>
      </c>
      <c r="Y14" s="6">
        <f t="shared" si="21"/>
        <v>0</v>
      </c>
      <c r="Z14" s="6">
        <f t="shared" si="22"/>
        <v>0</v>
      </c>
      <c r="AA14" s="33">
        <f t="shared" si="23"/>
        <v>-2000014</v>
      </c>
    </row>
    <row r="15" spans="1:27" x14ac:dyDescent="0.2">
      <c r="A15" s="1">
        <f t="shared" si="10"/>
        <v>13</v>
      </c>
      <c r="B15" s="3">
        <f>Parametros!D14</f>
        <v>0</v>
      </c>
      <c r="C15" s="4">
        <f>COUNTA(Resultados!C15:AP15)</f>
        <v>0</v>
      </c>
      <c r="D15" s="4">
        <f>COUNTIF('Resultados Auxiliar'!B15:AP15,"&gt;0")</f>
        <v>0</v>
      </c>
      <c r="E15" s="4">
        <f>COUNTIF('Resultados Auxiliar'!B15:AP15,"=0")</f>
        <v>0</v>
      </c>
      <c r="F15" s="4">
        <f>COUNTIF('Resultados Auxiliar'!B15:AP15,"&lt;0")</f>
        <v>0</v>
      </c>
      <c r="G15" s="4">
        <f t="array" ref="G15">SUM(IF(ISNUMBER(--LEFT(Resultados!C15:AP15,FIND("-",Resultados!C15:AP15)-1)),--LEFT(Resultados!C15:AP15,FIND("-",Resultados!C15:AP15)-1)))</f>
        <v>0</v>
      </c>
      <c r="H15" s="4">
        <f t="array" ref="H15">SUM(IF(ISNUMBER(--RIGHT(Resultados!C15:AP15,(LEN(Resultados!C15:AP15)-FIND("-",Resultados!C15:AP15)))),--RIGHT(Resultados!C15:AP15,(LEN(Resultados!C15:AP15)-FIND("-",Resultados!C15:AP15)))))</f>
        <v>0</v>
      </c>
      <c r="I15" s="4">
        <f t="shared" si="11"/>
        <v>0</v>
      </c>
      <c r="J15" s="4">
        <f t="shared" si="12"/>
        <v>0</v>
      </c>
      <c r="K15" s="5">
        <f>COUNTA(INDEX(Resultados!$A$3:$AP$42,,ROW()))</f>
        <v>0</v>
      </c>
      <c r="L15" s="5">
        <f>COUNTIF(INDEX('Resultados Auxiliar'!$B$3:$AO$42,,ROW()-2),"&lt;0")</f>
        <v>0</v>
      </c>
      <c r="M15" s="5">
        <f>COUNTIF(INDEX('Resultados Auxiliar'!$B$3:$AO$42,,ROW()-2),"=0")</f>
        <v>0</v>
      </c>
      <c r="N15" s="17">
        <f>COUNTIF(INDEX('Resultados Auxiliar'!$B$3:$AO$42,,ROW()-2),"&gt;0")</f>
        <v>0</v>
      </c>
      <c r="O15" s="5">
        <f t="array" ref="O15">SUM(IF(ISNUMBER(--RIGHT(rngVisitante,(LEN(rngVisitante)-FIND("-",rngVisitante)))),--RIGHT(rngVisitante,(LEN(rngVisitante)-FIND("-",rngVisitante)))))</f>
        <v>0</v>
      </c>
      <c r="P15" s="5">
        <f t="array" ref="P15">SUM(IF(ISNUMBER(--LEFT(rngVisitante,FIND("-",rngVisitante)-1)),--LEFT(rngVisitante,FIND("-",rngVisitante)-1)))</f>
        <v>0</v>
      </c>
      <c r="Q15" s="5">
        <f t="shared" si="13"/>
        <v>0</v>
      </c>
      <c r="R15" s="5">
        <f t="shared" si="14"/>
        <v>0</v>
      </c>
      <c r="S15" s="6">
        <f t="shared" si="15"/>
        <v>0</v>
      </c>
      <c r="T15" s="6">
        <f t="shared" si="16"/>
        <v>0</v>
      </c>
      <c r="U15" s="6">
        <f t="shared" si="17"/>
        <v>0</v>
      </c>
      <c r="V15" s="6">
        <f t="shared" si="18"/>
        <v>0</v>
      </c>
      <c r="W15" s="6">
        <f t="shared" si="19"/>
        <v>0</v>
      </c>
      <c r="X15" s="6">
        <f t="shared" si="20"/>
        <v>0</v>
      </c>
      <c r="Y15" s="6">
        <f t="shared" si="21"/>
        <v>0</v>
      </c>
      <c r="Z15" s="6">
        <f t="shared" si="22"/>
        <v>0</v>
      </c>
      <c r="AA15" s="33">
        <f t="shared" si="23"/>
        <v>-2000015</v>
      </c>
    </row>
    <row r="16" spans="1:27" x14ac:dyDescent="0.2">
      <c r="A16" s="1">
        <f t="shared" si="10"/>
        <v>14</v>
      </c>
      <c r="B16" s="3">
        <f>Parametros!D15</f>
        <v>0</v>
      </c>
      <c r="C16" s="4">
        <f>COUNTA(Resultados!C16:AP16)</f>
        <v>0</v>
      </c>
      <c r="D16" s="4">
        <f>COUNTIF('Resultados Auxiliar'!B16:AP16,"&gt;0")</f>
        <v>0</v>
      </c>
      <c r="E16" s="4">
        <f>COUNTIF('Resultados Auxiliar'!B16:AP16,"=0")</f>
        <v>0</v>
      </c>
      <c r="F16" s="4">
        <f>COUNTIF('Resultados Auxiliar'!B16:AP16,"&lt;0")</f>
        <v>0</v>
      </c>
      <c r="G16" s="4">
        <f t="array" ref="G16">SUM(IF(ISNUMBER(--LEFT(Resultados!C16:AP16,FIND("-",Resultados!C16:AP16)-1)),--LEFT(Resultados!C16:AP16,FIND("-",Resultados!C16:AP16)-1)))</f>
        <v>0</v>
      </c>
      <c r="H16" s="4">
        <f t="array" ref="H16">SUM(IF(ISNUMBER(--RIGHT(Resultados!C16:AP16,(LEN(Resultados!C16:AP16)-FIND("-",Resultados!C16:AP16)))),--RIGHT(Resultados!C16:AP16,(LEN(Resultados!C16:AP16)-FIND("-",Resultados!C16:AP16)))))</f>
        <v>0</v>
      </c>
      <c r="I16" s="4">
        <f t="shared" si="11"/>
        <v>0</v>
      </c>
      <c r="J16" s="4">
        <f t="shared" si="12"/>
        <v>0</v>
      </c>
      <c r="K16" s="5">
        <f>COUNTA(INDEX(Resultados!$A$3:$AP$42,,ROW()))</f>
        <v>0</v>
      </c>
      <c r="L16" s="5">
        <f>COUNTIF(INDEX('Resultados Auxiliar'!$B$3:$AO$42,,ROW()-2),"&lt;0")</f>
        <v>0</v>
      </c>
      <c r="M16" s="5">
        <f>COUNTIF(INDEX('Resultados Auxiliar'!$B$3:$AO$42,,ROW()-2),"=0")</f>
        <v>0</v>
      </c>
      <c r="N16" s="17">
        <f>COUNTIF(INDEX('Resultados Auxiliar'!$B$3:$AO$42,,ROW()-2),"&gt;0")</f>
        <v>0</v>
      </c>
      <c r="O16" s="5">
        <f t="array" ref="O16">SUM(IF(ISNUMBER(--RIGHT(rngVisitante,(LEN(rngVisitante)-FIND("-",rngVisitante)))),--RIGHT(rngVisitante,(LEN(rngVisitante)-FIND("-",rngVisitante)))))</f>
        <v>0</v>
      </c>
      <c r="P16" s="5">
        <f t="array" ref="P16">SUM(IF(ISNUMBER(--LEFT(rngVisitante,FIND("-",rngVisitante)-1)),--LEFT(rngVisitante,FIND("-",rngVisitante)-1)))</f>
        <v>0</v>
      </c>
      <c r="Q16" s="5">
        <f t="shared" si="13"/>
        <v>0</v>
      </c>
      <c r="R16" s="5">
        <f t="shared" si="14"/>
        <v>0</v>
      </c>
      <c r="S16" s="6">
        <f t="shared" si="15"/>
        <v>0</v>
      </c>
      <c r="T16" s="6">
        <f t="shared" si="16"/>
        <v>0</v>
      </c>
      <c r="U16" s="6">
        <f t="shared" si="17"/>
        <v>0</v>
      </c>
      <c r="V16" s="6">
        <f t="shared" si="18"/>
        <v>0</v>
      </c>
      <c r="W16" s="6">
        <f t="shared" si="19"/>
        <v>0</v>
      </c>
      <c r="X16" s="6">
        <f t="shared" si="20"/>
        <v>0</v>
      </c>
      <c r="Y16" s="6">
        <f t="shared" si="21"/>
        <v>0</v>
      </c>
      <c r="Z16" s="6">
        <f t="shared" si="22"/>
        <v>0</v>
      </c>
      <c r="AA16" s="33">
        <f t="shared" si="23"/>
        <v>-2000016</v>
      </c>
    </row>
    <row r="17" spans="1:27" x14ac:dyDescent="0.2">
      <c r="A17" s="1">
        <f t="shared" si="10"/>
        <v>15</v>
      </c>
      <c r="B17" s="3">
        <f>Parametros!D16</f>
        <v>0</v>
      </c>
      <c r="C17" s="4">
        <f>COUNTA(Resultados!C17:AP17)</f>
        <v>0</v>
      </c>
      <c r="D17" s="4">
        <f>COUNTIF('Resultados Auxiliar'!B17:AP17,"&gt;0")</f>
        <v>0</v>
      </c>
      <c r="E17" s="4">
        <f>COUNTIF('Resultados Auxiliar'!B17:AP17,"=0")</f>
        <v>0</v>
      </c>
      <c r="F17" s="4">
        <f>COUNTIF('Resultados Auxiliar'!B17:AP17,"&lt;0")</f>
        <v>0</v>
      </c>
      <c r="G17" s="4">
        <f t="array" ref="G17">SUM(IF(ISNUMBER(--LEFT(Resultados!C17:AP17,FIND("-",Resultados!C17:AP17)-1)),--LEFT(Resultados!C17:AP17,FIND("-",Resultados!C17:AP17)-1)))</f>
        <v>0</v>
      </c>
      <c r="H17" s="4">
        <f t="array" ref="H17">SUM(IF(ISNUMBER(--RIGHT(Resultados!C17:AP17,(LEN(Resultados!C17:AP17)-FIND("-",Resultados!C17:AP17)))),--RIGHT(Resultados!C17:AP17,(LEN(Resultados!C17:AP17)-FIND("-",Resultados!C17:AP17)))))</f>
        <v>0</v>
      </c>
      <c r="I17" s="4">
        <f t="shared" si="11"/>
        <v>0</v>
      </c>
      <c r="J17" s="4">
        <f t="shared" si="12"/>
        <v>0</v>
      </c>
      <c r="K17" s="5">
        <f>COUNTA(INDEX(Resultados!$A$3:$AP$42,,ROW()))</f>
        <v>0</v>
      </c>
      <c r="L17" s="5">
        <f>COUNTIF(INDEX('Resultados Auxiliar'!$B$3:$AO$42,,ROW()-2),"&lt;0")</f>
        <v>0</v>
      </c>
      <c r="M17" s="5">
        <f>COUNTIF(INDEX('Resultados Auxiliar'!$B$3:$AO$42,,ROW()-2),"=0")</f>
        <v>0</v>
      </c>
      <c r="N17" s="17">
        <f>COUNTIF(INDEX('Resultados Auxiliar'!$B$3:$AO$42,,ROW()-2),"&gt;0")</f>
        <v>0</v>
      </c>
      <c r="O17" s="5">
        <f t="array" ref="O17">SUM(IF(ISNUMBER(--RIGHT(rngVisitante,(LEN(rngVisitante)-FIND("-",rngVisitante)))),--RIGHT(rngVisitante,(LEN(rngVisitante)-FIND("-",rngVisitante)))))</f>
        <v>0</v>
      </c>
      <c r="P17" s="5">
        <f t="array" ref="P17">SUM(IF(ISNUMBER(--LEFT(rngVisitante,FIND("-",rngVisitante)-1)),--LEFT(rngVisitante,FIND("-",rngVisitante)-1)))</f>
        <v>0</v>
      </c>
      <c r="Q17" s="5">
        <f t="shared" si="13"/>
        <v>0</v>
      </c>
      <c r="R17" s="5">
        <f t="shared" si="14"/>
        <v>0</v>
      </c>
      <c r="S17" s="6">
        <f t="shared" si="15"/>
        <v>0</v>
      </c>
      <c r="T17" s="6">
        <f t="shared" si="16"/>
        <v>0</v>
      </c>
      <c r="U17" s="6">
        <f t="shared" si="17"/>
        <v>0</v>
      </c>
      <c r="V17" s="6">
        <f t="shared" si="18"/>
        <v>0</v>
      </c>
      <c r="W17" s="6">
        <f t="shared" si="19"/>
        <v>0</v>
      </c>
      <c r="X17" s="6">
        <f t="shared" si="20"/>
        <v>0</v>
      </c>
      <c r="Y17" s="6">
        <f t="shared" si="21"/>
        <v>0</v>
      </c>
      <c r="Z17" s="6">
        <f t="shared" si="22"/>
        <v>0</v>
      </c>
      <c r="AA17" s="33">
        <f t="shared" si="23"/>
        <v>-2000017</v>
      </c>
    </row>
    <row r="18" spans="1:27" x14ac:dyDescent="0.2">
      <c r="A18" s="1">
        <f t="shared" si="10"/>
        <v>16</v>
      </c>
      <c r="B18" s="3">
        <f>Parametros!D17</f>
        <v>0</v>
      </c>
      <c r="C18" s="4">
        <f>COUNTA(Resultados!C18:AP18)</f>
        <v>0</v>
      </c>
      <c r="D18" s="4">
        <f>COUNTIF('Resultados Auxiliar'!B18:AP18,"&gt;0")</f>
        <v>0</v>
      </c>
      <c r="E18" s="4">
        <f>COUNTIF('Resultados Auxiliar'!B18:AP18,"=0")</f>
        <v>0</v>
      </c>
      <c r="F18" s="4">
        <f>COUNTIF('Resultados Auxiliar'!B18:AP18,"&lt;0")</f>
        <v>0</v>
      </c>
      <c r="G18" s="4">
        <f t="array" ref="G18">SUM(IF(ISNUMBER(--LEFT(Resultados!C18:AP18,FIND("-",Resultados!C18:AP18)-1)),--LEFT(Resultados!C18:AP18,FIND("-",Resultados!C18:AP18)-1)))</f>
        <v>0</v>
      </c>
      <c r="H18" s="4">
        <f t="array" ref="H18">SUM(IF(ISNUMBER(--RIGHT(Resultados!C18:AP18,(LEN(Resultados!C18:AP18)-FIND("-",Resultados!C18:AP18)))),--RIGHT(Resultados!C18:AP18,(LEN(Resultados!C18:AP18)-FIND("-",Resultados!C18:AP18)))))</f>
        <v>0</v>
      </c>
      <c r="I18" s="4">
        <f>G18-H18</f>
        <v>0</v>
      </c>
      <c r="J18" s="4">
        <f t="shared" ref="J18:J42" si="24">D18*Partido_ganado+E18*Partido_empatado+F18*Partido_perdido</f>
        <v>0</v>
      </c>
      <c r="K18" s="5">
        <f>COUNTA(INDEX(Resultados!$A$3:$AP$42,,ROW()))</f>
        <v>0</v>
      </c>
      <c r="L18" s="5">
        <f>COUNTIF(INDEX('Resultados Auxiliar'!$B$3:$AO$42,,ROW()-2),"&lt;0")</f>
        <v>0</v>
      </c>
      <c r="M18" s="5">
        <f>COUNTIF(INDEX('Resultados Auxiliar'!$B$3:$AO$42,,ROW()-2),"=0")</f>
        <v>0</v>
      </c>
      <c r="N18" s="17">
        <f>COUNTIF(INDEX('Resultados Auxiliar'!$B$3:$AO$42,,ROW()-2),"&gt;0")</f>
        <v>0</v>
      </c>
      <c r="O18" s="5">
        <f t="array" ref="O18">SUM(IF(ISNUMBER(--RIGHT(rngVisitante,(LEN(rngVisitante)-FIND("-",rngVisitante)))),--RIGHT(rngVisitante,(LEN(rngVisitante)-FIND("-",rngVisitante)))))</f>
        <v>0</v>
      </c>
      <c r="P18" s="5">
        <f t="array" ref="P18">SUM(IF(ISNUMBER(--LEFT(rngVisitante,FIND("-",rngVisitante)-1)),--LEFT(rngVisitante,FIND("-",rngVisitante)-1)))</f>
        <v>0</v>
      </c>
      <c r="Q18" s="5">
        <f>O18-P18</f>
        <v>0</v>
      </c>
      <c r="R18" s="5">
        <f t="shared" ref="R18:R42" si="25">L18*Partido_ganado+M18*Partido_empatado+N18*Partido_perdido</f>
        <v>0</v>
      </c>
      <c r="S18" s="6">
        <f t="shared" ref="S18:Z22" si="26">C18+K18</f>
        <v>0</v>
      </c>
      <c r="T18" s="6">
        <f t="shared" si="26"/>
        <v>0</v>
      </c>
      <c r="U18" s="6">
        <f t="shared" si="26"/>
        <v>0</v>
      </c>
      <c r="V18" s="6">
        <f t="shared" si="26"/>
        <v>0</v>
      </c>
      <c r="W18" s="6">
        <f t="shared" si="26"/>
        <v>0</v>
      </c>
      <c r="X18" s="6">
        <f t="shared" si="26"/>
        <v>0</v>
      </c>
      <c r="Y18" s="6">
        <f t="shared" si="26"/>
        <v>0</v>
      </c>
      <c r="Z18" s="6">
        <f t="shared" si="26"/>
        <v>0</v>
      </c>
      <c r="AA18" s="33">
        <f>IF(S18=0,-2000000-ROW(),Z18*10000000+Y18*10000+W18*100+(30-ROW()))</f>
        <v>-2000018</v>
      </c>
    </row>
    <row r="19" spans="1:27" x14ac:dyDescent="0.2">
      <c r="A19" s="1">
        <f t="shared" si="10"/>
        <v>17</v>
      </c>
      <c r="B19" s="3">
        <f>Parametros!D18</f>
        <v>0</v>
      </c>
      <c r="C19" s="4">
        <f>COUNTA(Resultados!C19:AP19)</f>
        <v>0</v>
      </c>
      <c r="D19" s="4">
        <f>COUNTIF('Resultados Auxiliar'!B19:AP19,"&gt;0")</f>
        <v>0</v>
      </c>
      <c r="E19" s="4">
        <f>COUNTIF('Resultados Auxiliar'!B19:AP19,"=0")</f>
        <v>0</v>
      </c>
      <c r="F19" s="4">
        <f>COUNTIF('Resultados Auxiliar'!B19:AP19,"&lt;0")</f>
        <v>0</v>
      </c>
      <c r="G19" s="4">
        <f t="array" ref="G19">SUM(IF(ISNUMBER(--LEFT(Resultados!C19:AP19,FIND("-",Resultados!C19:AP19)-1)),--LEFT(Resultados!C19:AP19,FIND("-",Resultados!C19:AP19)-1)))</f>
        <v>0</v>
      </c>
      <c r="H19" s="4">
        <f t="array" ref="H19">SUM(IF(ISNUMBER(--RIGHT(Resultados!C19:AP19,(LEN(Resultados!C19:AP19)-FIND("-",Resultados!C19:AP19)))),--RIGHT(Resultados!C19:AP19,(LEN(Resultados!C19:AP19)-FIND("-",Resultados!C19:AP19)))))</f>
        <v>0</v>
      </c>
      <c r="I19" s="4">
        <f>G19-H19</f>
        <v>0</v>
      </c>
      <c r="J19" s="4">
        <f t="shared" si="24"/>
        <v>0</v>
      </c>
      <c r="K19" s="5">
        <f>COUNTA(INDEX(Resultados!$A$3:$AP$42,,ROW()))</f>
        <v>0</v>
      </c>
      <c r="L19" s="5">
        <f>COUNTIF(INDEX('Resultados Auxiliar'!$B$3:$AO$42,,ROW()-2),"&lt;0")</f>
        <v>0</v>
      </c>
      <c r="M19" s="5">
        <f>COUNTIF(INDEX('Resultados Auxiliar'!$B$3:$AO$42,,ROW()-2),"=0")</f>
        <v>0</v>
      </c>
      <c r="N19" s="17">
        <f>COUNTIF(INDEX('Resultados Auxiliar'!$B$3:$AO$42,,ROW()-2),"&gt;0")</f>
        <v>0</v>
      </c>
      <c r="O19" s="5">
        <f t="array" ref="O19">SUM(IF(ISNUMBER(--RIGHT(rngVisitante,(LEN(rngVisitante)-FIND("-",rngVisitante)))),--RIGHT(rngVisitante,(LEN(rngVisitante)-FIND("-",rngVisitante)))))</f>
        <v>0</v>
      </c>
      <c r="P19" s="5">
        <f t="array" ref="P19">SUM(IF(ISNUMBER(--LEFT(rngVisitante,FIND("-",rngVisitante)-1)),--LEFT(rngVisitante,FIND("-",rngVisitante)-1)))</f>
        <v>0</v>
      </c>
      <c r="Q19" s="5">
        <f>O19-P19</f>
        <v>0</v>
      </c>
      <c r="R19" s="5">
        <f t="shared" si="25"/>
        <v>0</v>
      </c>
      <c r="S19" s="6">
        <f t="shared" si="26"/>
        <v>0</v>
      </c>
      <c r="T19" s="6">
        <f t="shared" si="26"/>
        <v>0</v>
      </c>
      <c r="U19" s="6">
        <f t="shared" si="26"/>
        <v>0</v>
      </c>
      <c r="V19" s="6">
        <f t="shared" si="26"/>
        <v>0</v>
      </c>
      <c r="W19" s="6">
        <f t="shared" si="26"/>
        <v>0</v>
      </c>
      <c r="X19" s="6">
        <f t="shared" si="26"/>
        <v>0</v>
      </c>
      <c r="Y19" s="6">
        <f t="shared" si="26"/>
        <v>0</v>
      </c>
      <c r="Z19" s="6">
        <f t="shared" si="26"/>
        <v>0</v>
      </c>
      <c r="AA19" s="33">
        <f>IF(S19=0,-2000000-ROW(),Z19*10000000+Y19*10000+W19*100+(30-ROW()))</f>
        <v>-2000019</v>
      </c>
    </row>
    <row r="20" spans="1:27" x14ac:dyDescent="0.2">
      <c r="A20" s="1">
        <f t="shared" si="10"/>
        <v>18</v>
      </c>
      <c r="B20" s="3">
        <f>Parametros!D19</f>
        <v>0</v>
      </c>
      <c r="C20" s="4">
        <f>COUNTA(Resultados!C20:AP20)</f>
        <v>0</v>
      </c>
      <c r="D20" s="4">
        <f>COUNTIF('Resultados Auxiliar'!B20:AP20,"&gt;0")</f>
        <v>0</v>
      </c>
      <c r="E20" s="4">
        <f>COUNTIF('Resultados Auxiliar'!B20:AP20,"=0")</f>
        <v>0</v>
      </c>
      <c r="F20" s="4">
        <f>COUNTIF('Resultados Auxiliar'!B20:AP20,"&lt;0")</f>
        <v>0</v>
      </c>
      <c r="G20" s="4">
        <f t="array" ref="G20">SUM(IF(ISNUMBER(--LEFT(Resultados!C20:AP20,FIND("-",Resultados!C20:AP20)-1)),--LEFT(Resultados!C20:AP20,FIND("-",Resultados!C20:AP20)-1)))</f>
        <v>0</v>
      </c>
      <c r="H20" s="4">
        <f t="array" ref="H20">SUM(IF(ISNUMBER(--RIGHT(Resultados!C20:AP20,(LEN(Resultados!C20:AP20)-FIND("-",Resultados!C20:AP20)))),--RIGHT(Resultados!C20:AP20,(LEN(Resultados!C20:AP20)-FIND("-",Resultados!C20:AP20)))))</f>
        <v>0</v>
      </c>
      <c r="I20" s="4">
        <f>G20-H20</f>
        <v>0</v>
      </c>
      <c r="J20" s="4">
        <f t="shared" si="24"/>
        <v>0</v>
      </c>
      <c r="K20" s="5">
        <f>COUNTA(INDEX(Resultados!$A$3:$AP$42,,ROW()))</f>
        <v>0</v>
      </c>
      <c r="L20" s="5">
        <f>COUNTIF(INDEX('Resultados Auxiliar'!$B$3:$AO$42,,ROW()-2),"&lt;0")</f>
        <v>0</v>
      </c>
      <c r="M20" s="5">
        <f>COUNTIF(INDEX('Resultados Auxiliar'!$B$3:$AO$42,,ROW()-2),"=0")</f>
        <v>0</v>
      </c>
      <c r="N20" s="17">
        <f>COUNTIF(INDEX('Resultados Auxiliar'!$B$3:$AO$42,,ROW()-2),"&gt;0")</f>
        <v>0</v>
      </c>
      <c r="O20" s="5">
        <f t="array" ref="O20">SUM(IF(ISNUMBER(--RIGHT(rngVisitante,(LEN(rngVisitante)-FIND("-",rngVisitante)))),--RIGHT(rngVisitante,(LEN(rngVisitante)-FIND("-",rngVisitante)))))</f>
        <v>0</v>
      </c>
      <c r="P20" s="5">
        <f t="array" ref="P20">SUM(IF(ISNUMBER(--LEFT(rngVisitante,FIND("-",rngVisitante)-1)),--LEFT(rngVisitante,FIND("-",rngVisitante)-1)))</f>
        <v>0</v>
      </c>
      <c r="Q20" s="5">
        <f>O20-P20</f>
        <v>0</v>
      </c>
      <c r="R20" s="5">
        <f t="shared" si="25"/>
        <v>0</v>
      </c>
      <c r="S20" s="6">
        <f t="shared" si="26"/>
        <v>0</v>
      </c>
      <c r="T20" s="6">
        <f t="shared" si="26"/>
        <v>0</v>
      </c>
      <c r="U20" s="6">
        <f t="shared" si="26"/>
        <v>0</v>
      </c>
      <c r="V20" s="6">
        <f t="shared" si="26"/>
        <v>0</v>
      </c>
      <c r="W20" s="6">
        <f t="shared" si="26"/>
        <v>0</v>
      </c>
      <c r="X20" s="6">
        <f t="shared" si="26"/>
        <v>0</v>
      </c>
      <c r="Y20" s="6">
        <f t="shared" si="26"/>
        <v>0</v>
      </c>
      <c r="Z20" s="6">
        <f t="shared" si="26"/>
        <v>0</v>
      </c>
      <c r="AA20" s="33">
        <f>IF(S20=0,-2000000-ROW(),Z20*10000000+Y20*10000+W20*100+(30-ROW()))</f>
        <v>-2000020</v>
      </c>
    </row>
    <row r="21" spans="1:27" x14ac:dyDescent="0.2">
      <c r="A21" s="1">
        <f t="shared" si="10"/>
        <v>19</v>
      </c>
      <c r="B21" s="3">
        <f>Parametros!D20</f>
        <v>0</v>
      </c>
      <c r="C21" s="4">
        <f>COUNTA(Resultados!C21:AP21)</f>
        <v>0</v>
      </c>
      <c r="D21" s="4">
        <f>COUNTIF('Resultados Auxiliar'!B21:AP21,"&gt;0")</f>
        <v>0</v>
      </c>
      <c r="E21" s="4">
        <f>COUNTIF('Resultados Auxiliar'!B21:AP21,"=0")</f>
        <v>0</v>
      </c>
      <c r="F21" s="4">
        <f>COUNTIF('Resultados Auxiliar'!B21:AP21,"&lt;0")</f>
        <v>0</v>
      </c>
      <c r="G21" s="4">
        <f t="array" ref="G21">SUM(IF(ISNUMBER(--LEFT(Resultados!C21:AP21,FIND("-",Resultados!C21:AP21)-1)),--LEFT(Resultados!C21:AP21,FIND("-",Resultados!C21:AP21)-1)))</f>
        <v>0</v>
      </c>
      <c r="H21" s="4">
        <f t="array" ref="H21">SUM(IF(ISNUMBER(--RIGHT(Resultados!C21:AP21,(LEN(Resultados!C21:AP21)-FIND("-",Resultados!C21:AP21)))),--RIGHT(Resultados!C21:AP21,(LEN(Resultados!C21:AP21)-FIND("-",Resultados!C21:AP21)))))</f>
        <v>0</v>
      </c>
      <c r="I21" s="4">
        <f>G21-H21</f>
        <v>0</v>
      </c>
      <c r="J21" s="4">
        <f t="shared" si="24"/>
        <v>0</v>
      </c>
      <c r="K21" s="5">
        <f>COUNTA(INDEX(Resultados!$A$3:$AP$42,,ROW()))</f>
        <v>0</v>
      </c>
      <c r="L21" s="5">
        <f>COUNTIF(INDEX('Resultados Auxiliar'!$B$3:$AO$42,,ROW()-2),"&lt;0")</f>
        <v>0</v>
      </c>
      <c r="M21" s="5">
        <f>COUNTIF(INDEX('Resultados Auxiliar'!$B$3:$AO$42,,ROW()-2),"=0")</f>
        <v>0</v>
      </c>
      <c r="N21" s="17">
        <f>COUNTIF(INDEX('Resultados Auxiliar'!$B$3:$AO$42,,ROW()-2),"&gt;0")</f>
        <v>0</v>
      </c>
      <c r="O21" s="5">
        <f t="array" ref="O21">SUM(IF(ISNUMBER(--RIGHT(rngVisitante,(LEN(rngVisitante)-FIND("-",rngVisitante)))),--RIGHT(rngVisitante,(LEN(rngVisitante)-FIND("-",rngVisitante)))))</f>
        <v>0</v>
      </c>
      <c r="P21" s="5">
        <f t="array" ref="P21">SUM(IF(ISNUMBER(--LEFT(rngVisitante,FIND("-",rngVisitante)-1)),--LEFT(rngVisitante,FIND("-",rngVisitante)-1)))</f>
        <v>0</v>
      </c>
      <c r="Q21" s="5">
        <f>O21-P21</f>
        <v>0</v>
      </c>
      <c r="R21" s="5">
        <f t="shared" si="25"/>
        <v>0</v>
      </c>
      <c r="S21" s="6">
        <f t="shared" si="26"/>
        <v>0</v>
      </c>
      <c r="T21" s="6">
        <f t="shared" si="26"/>
        <v>0</v>
      </c>
      <c r="U21" s="6">
        <f t="shared" si="26"/>
        <v>0</v>
      </c>
      <c r="V21" s="6">
        <f t="shared" si="26"/>
        <v>0</v>
      </c>
      <c r="W21" s="6">
        <f t="shared" si="26"/>
        <v>0</v>
      </c>
      <c r="X21" s="6">
        <f t="shared" si="26"/>
        <v>0</v>
      </c>
      <c r="Y21" s="6">
        <f t="shared" si="26"/>
        <v>0</v>
      </c>
      <c r="Z21" s="6">
        <f t="shared" si="26"/>
        <v>0</v>
      </c>
      <c r="AA21" s="33">
        <f>IF(S21=0,-2000000-ROW(),Z21*10000000+Y21*10000+W21*100+(30-ROW()))</f>
        <v>-2000021</v>
      </c>
    </row>
    <row r="22" spans="1:27" x14ac:dyDescent="0.2">
      <c r="A22" s="1">
        <f t="shared" si="10"/>
        <v>20</v>
      </c>
      <c r="B22" s="3">
        <f>Parametros!D21</f>
        <v>0</v>
      </c>
      <c r="C22" s="4">
        <f>COUNTA(Resultados!C22:AP22)</f>
        <v>0</v>
      </c>
      <c r="D22" s="4">
        <f>COUNTIF('Resultados Auxiliar'!B22:AP22,"&gt;0")</f>
        <v>0</v>
      </c>
      <c r="E22" s="4">
        <f>COUNTIF('Resultados Auxiliar'!B22:AP22,"=0")</f>
        <v>0</v>
      </c>
      <c r="F22" s="4">
        <f>COUNTIF('Resultados Auxiliar'!B22:AP22,"&lt;0")</f>
        <v>0</v>
      </c>
      <c r="G22" s="4">
        <f t="array" ref="G22">SUM(IF(ISNUMBER(--LEFT(Resultados!C22:AP22,FIND("-",Resultados!C22:AP22)-1)),--LEFT(Resultados!C22:AP22,FIND("-",Resultados!C22:AP22)-1)))</f>
        <v>0</v>
      </c>
      <c r="H22" s="4">
        <f t="array" ref="H22">SUM(IF(ISNUMBER(--RIGHT(Resultados!C22:AP22,(LEN(Resultados!C22:AP22)-FIND("-",Resultados!C22:AP22)))),--RIGHT(Resultados!C22:AP22,(LEN(Resultados!C22:AP22)-FIND("-",Resultados!C22:AP22)))))</f>
        <v>0</v>
      </c>
      <c r="I22" s="4">
        <f>G22-H22</f>
        <v>0</v>
      </c>
      <c r="J22" s="4">
        <f t="shared" si="24"/>
        <v>0</v>
      </c>
      <c r="K22" s="5">
        <f>COUNTA(INDEX(Resultados!$A$3:$AP$42,,ROW()))</f>
        <v>0</v>
      </c>
      <c r="L22" s="5">
        <f>COUNTIF(INDEX('Resultados Auxiliar'!$B$3:$AO$42,,ROW()-2),"&lt;0")</f>
        <v>0</v>
      </c>
      <c r="M22" s="5">
        <f>COUNTIF(INDEX('Resultados Auxiliar'!$B$3:$AO$42,,ROW()-2),"=0")</f>
        <v>0</v>
      </c>
      <c r="N22" s="17">
        <f>COUNTIF(INDEX('Resultados Auxiliar'!$B$3:$AO$42,,ROW()-2),"&gt;0")</f>
        <v>0</v>
      </c>
      <c r="O22" s="5">
        <f t="array" ref="O22">SUM(IF(ISNUMBER(--RIGHT(rngVisitante,(LEN(rngVisitante)-FIND("-",rngVisitante)))),--RIGHT(rngVisitante,(LEN(rngVisitante)-FIND("-",rngVisitante)))))</f>
        <v>0</v>
      </c>
      <c r="P22" s="5">
        <f t="array" ref="P22">SUM(IF(ISNUMBER(--LEFT(rngVisitante,FIND("-",rngVisitante)-1)),--LEFT(rngVisitante,FIND("-",rngVisitante)-1)))</f>
        <v>0</v>
      </c>
      <c r="Q22" s="5">
        <f>O22-P22</f>
        <v>0</v>
      </c>
      <c r="R22" s="5">
        <f t="shared" si="25"/>
        <v>0</v>
      </c>
      <c r="S22" s="6">
        <f t="shared" si="26"/>
        <v>0</v>
      </c>
      <c r="T22" s="6">
        <f t="shared" si="26"/>
        <v>0</v>
      </c>
      <c r="U22" s="6">
        <f t="shared" si="26"/>
        <v>0</v>
      </c>
      <c r="V22" s="6">
        <f t="shared" si="26"/>
        <v>0</v>
      </c>
      <c r="W22" s="6">
        <f t="shared" si="26"/>
        <v>0</v>
      </c>
      <c r="X22" s="6">
        <f t="shared" si="26"/>
        <v>0</v>
      </c>
      <c r="Y22" s="6">
        <f t="shared" si="26"/>
        <v>0</v>
      </c>
      <c r="Z22" s="6">
        <f t="shared" si="26"/>
        <v>0</v>
      </c>
      <c r="AA22" s="33">
        <f>IF(S22=0,-2000000-ROW(),Z22*10000000+Y22*10000+W22*100+(30-ROW()))</f>
        <v>-2000022</v>
      </c>
    </row>
    <row r="23" spans="1:27" x14ac:dyDescent="0.2">
      <c r="A23" s="1">
        <f t="shared" si="10"/>
        <v>21</v>
      </c>
      <c r="B23" s="3">
        <f>Parametros!D22</f>
        <v>0</v>
      </c>
      <c r="C23" s="4">
        <f>COUNTA(Resultados!C23:AP23)</f>
        <v>0</v>
      </c>
      <c r="D23" s="4">
        <f>COUNTIF('Resultados Auxiliar'!B23:AP23,"&gt;0")</f>
        <v>0</v>
      </c>
      <c r="E23" s="4">
        <f>COUNTIF('Resultados Auxiliar'!B23:AP23,"=0")</f>
        <v>0</v>
      </c>
      <c r="F23" s="4">
        <f>COUNTIF('Resultados Auxiliar'!B23:AP23,"&lt;0")</f>
        <v>0</v>
      </c>
      <c r="G23" s="4">
        <f t="array" ref="G23">SUM(IF(ISNUMBER(--LEFT(Resultados!C23:AP23,FIND("-",Resultados!C23:AP23)-1)),--LEFT(Resultados!C23:AP23,FIND("-",Resultados!C23:AP23)-1)))</f>
        <v>0</v>
      </c>
      <c r="H23" s="4">
        <f t="array" ref="H23">SUM(IF(ISNUMBER(--RIGHT(Resultados!C23:AP23,(LEN(Resultados!C23:AP23)-FIND("-",Resultados!C23:AP23)))),--RIGHT(Resultados!C23:AP23,(LEN(Resultados!C23:AP23)-FIND("-",Resultados!C23:AP23)))))</f>
        <v>0</v>
      </c>
      <c r="I23" s="4">
        <f t="shared" ref="I23:I41" si="27">G23-H23</f>
        <v>0</v>
      </c>
      <c r="J23" s="4">
        <f t="shared" si="24"/>
        <v>0</v>
      </c>
      <c r="K23" s="5">
        <f>COUNTA(INDEX(Resultados!$A$3:$AP$42,,ROW()))</f>
        <v>0</v>
      </c>
      <c r="L23" s="5">
        <f>COUNTIF(INDEX('Resultados Auxiliar'!$B$3:$AO$42,,ROW()-2),"&lt;0")</f>
        <v>0</v>
      </c>
      <c r="M23" s="5">
        <f>COUNTIF(INDEX('Resultados Auxiliar'!$B$3:$AO$42,,ROW()-2),"=0")</f>
        <v>0</v>
      </c>
      <c r="N23" s="17">
        <f>COUNTIF(INDEX('Resultados Auxiliar'!$B$3:$AO$42,,ROW()-2),"&gt;0")</f>
        <v>0</v>
      </c>
      <c r="O23" s="5">
        <f t="array" ref="O23">SUM(IF(ISNUMBER(--RIGHT(rngVisitante,(LEN(rngVisitante)-FIND("-",rngVisitante)))),--RIGHT(rngVisitante,(LEN(rngVisitante)-FIND("-",rngVisitante)))))</f>
        <v>0</v>
      </c>
      <c r="P23" s="5">
        <f t="array" ref="P23">SUM(IF(ISNUMBER(--LEFT(rngVisitante,FIND("-",rngVisitante)-1)),--LEFT(rngVisitante,FIND("-",rngVisitante)-1)))</f>
        <v>0</v>
      </c>
      <c r="Q23" s="5">
        <f t="shared" ref="Q23:Q41" si="28">O23-P23</f>
        <v>0</v>
      </c>
      <c r="R23" s="5">
        <f t="shared" si="25"/>
        <v>0</v>
      </c>
      <c r="S23" s="6">
        <f t="shared" ref="S23:S41" si="29">C23+K23</f>
        <v>0</v>
      </c>
      <c r="T23" s="6">
        <f t="shared" ref="T23:T41" si="30">D23+L23</f>
        <v>0</v>
      </c>
      <c r="U23" s="6">
        <f t="shared" ref="U23:U41" si="31">E23+M23</f>
        <v>0</v>
      </c>
      <c r="V23" s="6">
        <f t="shared" ref="V23:V41" si="32">F23+N23</f>
        <v>0</v>
      </c>
      <c r="W23" s="6">
        <f t="shared" ref="W23:W41" si="33">G23+O23</f>
        <v>0</v>
      </c>
      <c r="X23" s="6">
        <f t="shared" ref="X23:X41" si="34">H23+P23</f>
        <v>0</v>
      </c>
      <c r="Y23" s="6">
        <f t="shared" ref="Y23:Y41" si="35">I23+Q23</f>
        <v>0</v>
      </c>
      <c r="Z23" s="6">
        <f t="shared" ref="Z23:Z41" si="36">J23+R23</f>
        <v>0</v>
      </c>
      <c r="AA23" s="33">
        <f t="shared" ref="AA23:AA42" si="37">IF(S23=0,-2000000-ROW(),Z23*10000000+Y23*10000+W23*100+(30-ROW()))</f>
        <v>-2000023</v>
      </c>
    </row>
    <row r="24" spans="1:27" x14ac:dyDescent="0.2">
      <c r="A24" s="1">
        <f t="shared" si="10"/>
        <v>22</v>
      </c>
      <c r="B24" s="3">
        <f>Parametros!D23</f>
        <v>0</v>
      </c>
      <c r="C24" s="4">
        <f>COUNTA(Resultados!C24:AP24)</f>
        <v>0</v>
      </c>
      <c r="D24" s="4">
        <f>COUNTIF('Resultados Auxiliar'!B24:AP24,"&gt;0")</f>
        <v>0</v>
      </c>
      <c r="E24" s="4">
        <f>COUNTIF('Resultados Auxiliar'!B24:AP24,"=0")</f>
        <v>0</v>
      </c>
      <c r="F24" s="4">
        <f>COUNTIF('Resultados Auxiliar'!B24:AP24,"&lt;0")</f>
        <v>0</v>
      </c>
      <c r="G24" s="4">
        <f t="array" ref="G24">SUM(IF(ISNUMBER(--LEFT(Resultados!C24:AP24,FIND("-",Resultados!C24:AP24)-1)),--LEFT(Resultados!C24:AP24,FIND("-",Resultados!C24:AP24)-1)))</f>
        <v>0</v>
      </c>
      <c r="H24" s="4">
        <f t="array" ref="H24">SUM(IF(ISNUMBER(--RIGHT(Resultados!C24:AP24,(LEN(Resultados!C24:AP24)-FIND("-",Resultados!C24:AP24)))),--RIGHT(Resultados!C24:AP24,(LEN(Resultados!C24:AP24)-FIND("-",Resultados!C24:AP24)))))</f>
        <v>0</v>
      </c>
      <c r="I24" s="4">
        <f t="shared" si="27"/>
        <v>0</v>
      </c>
      <c r="J24" s="4">
        <f t="shared" si="24"/>
        <v>0</v>
      </c>
      <c r="K24" s="5">
        <f>COUNTA(INDEX(Resultados!$A$3:$AP$42,,ROW()))</f>
        <v>0</v>
      </c>
      <c r="L24" s="5">
        <f>COUNTIF(INDEX('Resultados Auxiliar'!$B$3:$AO$42,,ROW()-2),"&lt;0")</f>
        <v>0</v>
      </c>
      <c r="M24" s="5">
        <f>COUNTIF(INDEX('Resultados Auxiliar'!$B$3:$AO$42,,ROW()-2),"=0")</f>
        <v>0</v>
      </c>
      <c r="N24" s="17">
        <f>COUNTIF(INDEX('Resultados Auxiliar'!$B$3:$AO$42,,ROW()-2),"&gt;0")</f>
        <v>0</v>
      </c>
      <c r="O24" s="5">
        <f t="array" ref="O24">SUM(IF(ISNUMBER(--RIGHT(rngVisitante,(LEN(rngVisitante)-FIND("-",rngVisitante)))),--RIGHT(rngVisitante,(LEN(rngVisitante)-FIND("-",rngVisitante)))))</f>
        <v>0</v>
      </c>
      <c r="P24" s="5">
        <f t="array" ref="P24">SUM(IF(ISNUMBER(--LEFT(rngVisitante,FIND("-",rngVisitante)-1)),--LEFT(rngVisitante,FIND("-",rngVisitante)-1)))</f>
        <v>0</v>
      </c>
      <c r="Q24" s="5">
        <f t="shared" si="28"/>
        <v>0</v>
      </c>
      <c r="R24" s="5">
        <f t="shared" si="25"/>
        <v>0</v>
      </c>
      <c r="S24" s="6">
        <f t="shared" si="29"/>
        <v>0</v>
      </c>
      <c r="T24" s="6">
        <f t="shared" si="30"/>
        <v>0</v>
      </c>
      <c r="U24" s="6">
        <f t="shared" si="31"/>
        <v>0</v>
      </c>
      <c r="V24" s="6">
        <f t="shared" si="32"/>
        <v>0</v>
      </c>
      <c r="W24" s="6">
        <f t="shared" si="33"/>
        <v>0</v>
      </c>
      <c r="X24" s="6">
        <f t="shared" si="34"/>
        <v>0</v>
      </c>
      <c r="Y24" s="6">
        <f t="shared" si="35"/>
        <v>0</v>
      </c>
      <c r="Z24" s="6">
        <f t="shared" si="36"/>
        <v>0</v>
      </c>
      <c r="AA24" s="33">
        <f t="shared" si="37"/>
        <v>-2000024</v>
      </c>
    </row>
    <row r="25" spans="1:27" x14ac:dyDescent="0.2">
      <c r="A25" s="1">
        <f t="shared" si="10"/>
        <v>23</v>
      </c>
      <c r="B25" s="3">
        <f>Parametros!D24</f>
        <v>0</v>
      </c>
      <c r="C25" s="4">
        <f>COUNTA(Resultados!C25:AP25)</f>
        <v>0</v>
      </c>
      <c r="D25" s="4">
        <f>COUNTIF('Resultados Auxiliar'!B25:AP25,"&gt;0")</f>
        <v>0</v>
      </c>
      <c r="E25" s="4">
        <f>COUNTIF('Resultados Auxiliar'!B25:AP25,"=0")</f>
        <v>0</v>
      </c>
      <c r="F25" s="4">
        <f>COUNTIF('Resultados Auxiliar'!B25:AP25,"&lt;0")</f>
        <v>0</v>
      </c>
      <c r="G25" s="4">
        <f t="array" ref="G25">SUM(IF(ISNUMBER(--LEFT(Resultados!C25:AP25,FIND("-",Resultados!C25:AP25)-1)),--LEFT(Resultados!C25:AP25,FIND("-",Resultados!C25:AP25)-1)))</f>
        <v>0</v>
      </c>
      <c r="H25" s="4">
        <f t="array" ref="H25">SUM(IF(ISNUMBER(--RIGHT(Resultados!C25:AP25,(LEN(Resultados!C25:AP25)-FIND("-",Resultados!C25:AP25)))),--RIGHT(Resultados!C25:AP25,(LEN(Resultados!C25:AP25)-FIND("-",Resultados!C25:AP25)))))</f>
        <v>0</v>
      </c>
      <c r="I25" s="4">
        <f t="shared" si="27"/>
        <v>0</v>
      </c>
      <c r="J25" s="4">
        <f t="shared" si="24"/>
        <v>0</v>
      </c>
      <c r="K25" s="5">
        <f>COUNTA(INDEX(Resultados!$A$3:$AP$42,,ROW()))</f>
        <v>0</v>
      </c>
      <c r="L25" s="5">
        <f>COUNTIF(INDEX('Resultados Auxiliar'!$B$3:$AO$42,,ROW()-2),"&lt;0")</f>
        <v>0</v>
      </c>
      <c r="M25" s="5">
        <f>COUNTIF(INDEX('Resultados Auxiliar'!$B$3:$AO$42,,ROW()-2),"=0")</f>
        <v>0</v>
      </c>
      <c r="N25" s="17">
        <f>COUNTIF(INDEX('Resultados Auxiliar'!$B$3:$AO$42,,ROW()-2),"&gt;0")</f>
        <v>0</v>
      </c>
      <c r="O25" s="5">
        <f t="array" ref="O25">SUM(IF(ISNUMBER(--RIGHT(rngVisitante,(LEN(rngVisitante)-FIND("-",rngVisitante)))),--RIGHT(rngVisitante,(LEN(rngVisitante)-FIND("-",rngVisitante)))))</f>
        <v>0</v>
      </c>
      <c r="P25" s="5">
        <f t="array" ref="P25">SUM(IF(ISNUMBER(--LEFT(rngVisitante,FIND("-",rngVisitante)-1)),--LEFT(rngVisitante,FIND("-",rngVisitante)-1)))</f>
        <v>0</v>
      </c>
      <c r="Q25" s="5">
        <f t="shared" si="28"/>
        <v>0</v>
      </c>
      <c r="R25" s="5">
        <f t="shared" si="25"/>
        <v>0</v>
      </c>
      <c r="S25" s="6">
        <f t="shared" si="29"/>
        <v>0</v>
      </c>
      <c r="T25" s="6">
        <f t="shared" si="30"/>
        <v>0</v>
      </c>
      <c r="U25" s="6">
        <f t="shared" si="31"/>
        <v>0</v>
      </c>
      <c r="V25" s="6">
        <f t="shared" si="32"/>
        <v>0</v>
      </c>
      <c r="W25" s="6">
        <f t="shared" si="33"/>
        <v>0</v>
      </c>
      <c r="X25" s="6">
        <f t="shared" si="34"/>
        <v>0</v>
      </c>
      <c r="Y25" s="6">
        <f t="shared" si="35"/>
        <v>0</v>
      </c>
      <c r="Z25" s="6">
        <f t="shared" si="36"/>
        <v>0</v>
      </c>
      <c r="AA25" s="33">
        <f t="shared" si="37"/>
        <v>-2000025</v>
      </c>
    </row>
    <row r="26" spans="1:27" x14ac:dyDescent="0.2">
      <c r="A26" s="1">
        <f t="shared" si="10"/>
        <v>24</v>
      </c>
      <c r="B26" s="3">
        <f>Parametros!D25</f>
        <v>0</v>
      </c>
      <c r="C26" s="4">
        <f>COUNTA(Resultados!C26:AP26)</f>
        <v>0</v>
      </c>
      <c r="D26" s="4">
        <f>COUNTIF('Resultados Auxiliar'!B26:AP26,"&gt;0")</f>
        <v>0</v>
      </c>
      <c r="E26" s="4">
        <f>COUNTIF('Resultados Auxiliar'!B26:AP26,"=0")</f>
        <v>0</v>
      </c>
      <c r="F26" s="4">
        <f>COUNTIF('Resultados Auxiliar'!B26:AP26,"&lt;0")</f>
        <v>0</v>
      </c>
      <c r="G26" s="4">
        <f t="array" ref="G26">SUM(IF(ISNUMBER(--LEFT(Resultados!C26:AP26,FIND("-",Resultados!C26:AP26)-1)),--LEFT(Resultados!C26:AP26,FIND("-",Resultados!C26:AP26)-1)))</f>
        <v>0</v>
      </c>
      <c r="H26" s="4">
        <f t="array" ref="H26">SUM(IF(ISNUMBER(--RIGHT(Resultados!C26:AP26,(LEN(Resultados!C26:AP26)-FIND("-",Resultados!C26:AP26)))),--RIGHT(Resultados!C26:AP26,(LEN(Resultados!C26:AP26)-FIND("-",Resultados!C26:AP26)))))</f>
        <v>0</v>
      </c>
      <c r="I26" s="4">
        <f t="shared" si="27"/>
        <v>0</v>
      </c>
      <c r="J26" s="4">
        <f t="shared" si="24"/>
        <v>0</v>
      </c>
      <c r="K26" s="5">
        <f>COUNTA(INDEX(Resultados!$A$3:$AP$42,,ROW()))</f>
        <v>0</v>
      </c>
      <c r="L26" s="5">
        <f>COUNTIF(INDEX('Resultados Auxiliar'!$B$3:$AO$42,,ROW()-2),"&lt;0")</f>
        <v>0</v>
      </c>
      <c r="M26" s="5">
        <f>COUNTIF(INDEX('Resultados Auxiliar'!$B$3:$AO$42,,ROW()-2),"=0")</f>
        <v>0</v>
      </c>
      <c r="N26" s="17">
        <f>COUNTIF(INDEX('Resultados Auxiliar'!$B$3:$AO$42,,ROW()-2),"&gt;0")</f>
        <v>0</v>
      </c>
      <c r="O26" s="5">
        <f t="array" ref="O26">SUM(IF(ISNUMBER(--RIGHT(rngVisitante,(LEN(rngVisitante)-FIND("-",rngVisitante)))),--RIGHT(rngVisitante,(LEN(rngVisitante)-FIND("-",rngVisitante)))))</f>
        <v>0</v>
      </c>
      <c r="P26" s="5">
        <f t="array" ref="P26">SUM(IF(ISNUMBER(--LEFT(rngVisitante,FIND("-",rngVisitante)-1)),--LEFT(rngVisitante,FIND("-",rngVisitante)-1)))</f>
        <v>0</v>
      </c>
      <c r="Q26" s="5">
        <f t="shared" si="28"/>
        <v>0</v>
      </c>
      <c r="R26" s="5">
        <f t="shared" si="25"/>
        <v>0</v>
      </c>
      <c r="S26" s="6">
        <f t="shared" si="29"/>
        <v>0</v>
      </c>
      <c r="T26" s="6">
        <f t="shared" si="30"/>
        <v>0</v>
      </c>
      <c r="U26" s="6">
        <f t="shared" si="31"/>
        <v>0</v>
      </c>
      <c r="V26" s="6">
        <f t="shared" si="32"/>
        <v>0</v>
      </c>
      <c r="W26" s="6">
        <f t="shared" si="33"/>
        <v>0</v>
      </c>
      <c r="X26" s="6">
        <f t="shared" si="34"/>
        <v>0</v>
      </c>
      <c r="Y26" s="6">
        <f t="shared" si="35"/>
        <v>0</v>
      </c>
      <c r="Z26" s="6">
        <f t="shared" si="36"/>
        <v>0</v>
      </c>
      <c r="AA26" s="33">
        <f t="shared" si="37"/>
        <v>-2000026</v>
      </c>
    </row>
    <row r="27" spans="1:27" x14ac:dyDescent="0.2">
      <c r="A27" s="1">
        <f t="shared" si="10"/>
        <v>25</v>
      </c>
      <c r="B27" s="3" t="str">
        <f>Parametros!D26</f>
        <v>Equipo 25</v>
      </c>
      <c r="C27" s="4">
        <f>COUNTA(Resultados!C27:AP27)</f>
        <v>0</v>
      </c>
      <c r="D27" s="4">
        <f>COUNTIF('Resultados Auxiliar'!B27:AP27,"&gt;0")</f>
        <v>0</v>
      </c>
      <c r="E27" s="4">
        <f>COUNTIF('Resultados Auxiliar'!B27:AP27,"=0")</f>
        <v>0</v>
      </c>
      <c r="F27" s="4">
        <f>COUNTIF('Resultados Auxiliar'!B27:AP27,"&lt;0")</f>
        <v>0</v>
      </c>
      <c r="G27" s="4">
        <f t="array" ref="G27">SUM(IF(ISNUMBER(--LEFT(Resultados!C27:AP27,FIND("-",Resultados!C27:AP27)-1)),--LEFT(Resultados!C27:AP27,FIND("-",Resultados!C27:AP27)-1)))</f>
        <v>0</v>
      </c>
      <c r="H27" s="4">
        <f t="array" ref="H27">SUM(IF(ISNUMBER(--RIGHT(Resultados!C27:AP27,(LEN(Resultados!C27:AP27)-FIND("-",Resultados!C27:AP27)))),--RIGHT(Resultados!C27:AP27,(LEN(Resultados!C27:AP27)-FIND("-",Resultados!C27:AP27)))))</f>
        <v>0</v>
      </c>
      <c r="I27" s="4">
        <f t="shared" si="27"/>
        <v>0</v>
      </c>
      <c r="J27" s="4">
        <f t="shared" si="24"/>
        <v>0</v>
      </c>
      <c r="K27" s="5">
        <f>COUNTA(INDEX(Resultados!$A$3:$AP$42,,ROW()))</f>
        <v>0</v>
      </c>
      <c r="L27" s="5">
        <f>COUNTIF(INDEX('Resultados Auxiliar'!$B$3:$AO$42,,ROW()-2),"&lt;0")</f>
        <v>0</v>
      </c>
      <c r="M27" s="5">
        <f>COUNTIF(INDEX('Resultados Auxiliar'!$B$3:$AO$42,,ROW()-2),"=0")</f>
        <v>0</v>
      </c>
      <c r="N27" s="17">
        <f>COUNTIF(INDEX('Resultados Auxiliar'!$B$3:$AO$42,,ROW()-2),"&gt;0")</f>
        <v>0</v>
      </c>
      <c r="O27" s="5">
        <f t="array" ref="O27">SUM(IF(ISNUMBER(--RIGHT(rngVisitante,(LEN(rngVisitante)-FIND("-",rngVisitante)))),--RIGHT(rngVisitante,(LEN(rngVisitante)-FIND("-",rngVisitante)))))</f>
        <v>0</v>
      </c>
      <c r="P27" s="5">
        <f t="array" ref="P27">SUM(IF(ISNUMBER(--LEFT(rngVisitante,FIND("-",rngVisitante)-1)),--LEFT(rngVisitante,FIND("-",rngVisitante)-1)))</f>
        <v>0</v>
      </c>
      <c r="Q27" s="5">
        <f t="shared" si="28"/>
        <v>0</v>
      </c>
      <c r="R27" s="5">
        <f t="shared" si="25"/>
        <v>0</v>
      </c>
      <c r="S27" s="6">
        <f t="shared" si="29"/>
        <v>0</v>
      </c>
      <c r="T27" s="6">
        <f t="shared" si="30"/>
        <v>0</v>
      </c>
      <c r="U27" s="6">
        <f t="shared" si="31"/>
        <v>0</v>
      </c>
      <c r="V27" s="6">
        <f t="shared" si="32"/>
        <v>0</v>
      </c>
      <c r="W27" s="6">
        <f t="shared" si="33"/>
        <v>0</v>
      </c>
      <c r="X27" s="6">
        <f t="shared" si="34"/>
        <v>0</v>
      </c>
      <c r="Y27" s="6">
        <f t="shared" si="35"/>
        <v>0</v>
      </c>
      <c r="Z27" s="6">
        <f t="shared" si="36"/>
        <v>0</v>
      </c>
      <c r="AA27" s="33">
        <f t="shared" si="37"/>
        <v>-2000027</v>
      </c>
    </row>
    <row r="28" spans="1:27" x14ac:dyDescent="0.2">
      <c r="A28" s="1">
        <f t="shared" si="10"/>
        <v>26</v>
      </c>
      <c r="B28" s="3" t="str">
        <f>Parametros!D27</f>
        <v>Equipo 26</v>
      </c>
      <c r="C28" s="4">
        <f>COUNTA(Resultados!C28:AP28)</f>
        <v>0</v>
      </c>
      <c r="D28" s="4">
        <f>COUNTIF('Resultados Auxiliar'!B28:AP28,"&gt;0")</f>
        <v>0</v>
      </c>
      <c r="E28" s="4">
        <f>COUNTIF('Resultados Auxiliar'!B28:AP28,"=0")</f>
        <v>0</v>
      </c>
      <c r="F28" s="4">
        <f>COUNTIF('Resultados Auxiliar'!B28:AP28,"&lt;0")</f>
        <v>0</v>
      </c>
      <c r="G28" s="4">
        <f t="array" ref="G28">SUM(IF(ISNUMBER(--LEFT(Resultados!C28:AP28,FIND("-",Resultados!C28:AP28)-1)),--LEFT(Resultados!C28:AP28,FIND("-",Resultados!C28:AP28)-1)))</f>
        <v>0</v>
      </c>
      <c r="H28" s="4">
        <f t="array" ref="H28">SUM(IF(ISNUMBER(--RIGHT(Resultados!C28:AP28,(LEN(Resultados!C28:AP28)-FIND("-",Resultados!C28:AP28)))),--RIGHT(Resultados!C28:AP28,(LEN(Resultados!C28:AP28)-FIND("-",Resultados!C28:AP28)))))</f>
        <v>0</v>
      </c>
      <c r="I28" s="4">
        <f t="shared" si="27"/>
        <v>0</v>
      </c>
      <c r="J28" s="4">
        <f t="shared" si="24"/>
        <v>0</v>
      </c>
      <c r="K28" s="5">
        <f>COUNTA(INDEX(Resultados!$A$3:$AP$42,,ROW()))</f>
        <v>0</v>
      </c>
      <c r="L28" s="5">
        <f>COUNTIF(INDEX('Resultados Auxiliar'!$B$3:$AO$42,,ROW()-2),"&lt;0")</f>
        <v>0</v>
      </c>
      <c r="M28" s="5">
        <f>COUNTIF(INDEX('Resultados Auxiliar'!$B$3:$AO$42,,ROW()-2),"=0")</f>
        <v>0</v>
      </c>
      <c r="N28" s="17">
        <f>COUNTIF(INDEX('Resultados Auxiliar'!$B$3:$AO$42,,ROW()-2),"&gt;0")</f>
        <v>0</v>
      </c>
      <c r="O28" s="5">
        <f t="array" ref="O28">SUM(IF(ISNUMBER(--RIGHT(rngVisitante,(LEN(rngVisitante)-FIND("-",rngVisitante)))),--RIGHT(rngVisitante,(LEN(rngVisitante)-FIND("-",rngVisitante)))))</f>
        <v>0</v>
      </c>
      <c r="P28" s="5">
        <f t="array" ref="P28">SUM(IF(ISNUMBER(--LEFT(rngVisitante,FIND("-",rngVisitante)-1)),--LEFT(rngVisitante,FIND("-",rngVisitante)-1)))</f>
        <v>0</v>
      </c>
      <c r="Q28" s="5">
        <f t="shared" si="28"/>
        <v>0</v>
      </c>
      <c r="R28" s="5">
        <f t="shared" si="25"/>
        <v>0</v>
      </c>
      <c r="S28" s="6">
        <f t="shared" si="29"/>
        <v>0</v>
      </c>
      <c r="T28" s="6">
        <f t="shared" si="30"/>
        <v>0</v>
      </c>
      <c r="U28" s="6">
        <f t="shared" si="31"/>
        <v>0</v>
      </c>
      <c r="V28" s="6">
        <f t="shared" si="32"/>
        <v>0</v>
      </c>
      <c r="W28" s="6">
        <f t="shared" si="33"/>
        <v>0</v>
      </c>
      <c r="X28" s="6">
        <f t="shared" si="34"/>
        <v>0</v>
      </c>
      <c r="Y28" s="6">
        <f t="shared" si="35"/>
        <v>0</v>
      </c>
      <c r="Z28" s="6">
        <f t="shared" si="36"/>
        <v>0</v>
      </c>
      <c r="AA28" s="33">
        <f t="shared" si="37"/>
        <v>-2000028</v>
      </c>
    </row>
    <row r="29" spans="1:27" x14ac:dyDescent="0.2">
      <c r="A29" s="1">
        <f t="shared" si="10"/>
        <v>27</v>
      </c>
      <c r="B29" s="3" t="str">
        <f>Parametros!D28</f>
        <v>Equipo 27</v>
      </c>
      <c r="C29" s="4">
        <f>COUNTA(Resultados!C29:AP29)</f>
        <v>0</v>
      </c>
      <c r="D29" s="4">
        <f>COUNTIF('Resultados Auxiliar'!B29:AP29,"&gt;0")</f>
        <v>0</v>
      </c>
      <c r="E29" s="4">
        <f>COUNTIF('Resultados Auxiliar'!B29:AP29,"=0")</f>
        <v>0</v>
      </c>
      <c r="F29" s="4">
        <f>COUNTIF('Resultados Auxiliar'!B29:AP29,"&lt;0")</f>
        <v>0</v>
      </c>
      <c r="G29" s="4">
        <f t="array" ref="G29">SUM(IF(ISNUMBER(--LEFT(Resultados!C29:AP29,FIND("-",Resultados!C29:AP29)-1)),--LEFT(Resultados!C29:AP29,FIND("-",Resultados!C29:AP29)-1)))</f>
        <v>0</v>
      </c>
      <c r="H29" s="4">
        <f t="array" ref="H29">SUM(IF(ISNUMBER(--RIGHT(Resultados!C29:AP29,(LEN(Resultados!C29:AP29)-FIND("-",Resultados!C29:AP29)))),--RIGHT(Resultados!C29:AP29,(LEN(Resultados!C29:AP29)-FIND("-",Resultados!C29:AP29)))))</f>
        <v>0</v>
      </c>
      <c r="I29" s="4">
        <f t="shared" si="27"/>
        <v>0</v>
      </c>
      <c r="J29" s="4">
        <f t="shared" si="24"/>
        <v>0</v>
      </c>
      <c r="K29" s="5">
        <f>COUNTA(INDEX(Resultados!$A$3:$AP$42,,ROW()))</f>
        <v>0</v>
      </c>
      <c r="L29" s="5">
        <f>COUNTIF(INDEX('Resultados Auxiliar'!$B$3:$AO$42,,ROW()-2),"&lt;0")</f>
        <v>0</v>
      </c>
      <c r="M29" s="5">
        <f>COUNTIF(INDEX('Resultados Auxiliar'!$B$3:$AO$42,,ROW()-2),"=0")</f>
        <v>0</v>
      </c>
      <c r="N29" s="17">
        <f>COUNTIF(INDEX('Resultados Auxiliar'!$B$3:$AO$42,,ROW()-2),"&gt;0")</f>
        <v>0</v>
      </c>
      <c r="O29" s="5">
        <f t="array" ref="O29">SUM(IF(ISNUMBER(--RIGHT(rngVisitante,(LEN(rngVisitante)-FIND("-",rngVisitante)))),--RIGHT(rngVisitante,(LEN(rngVisitante)-FIND("-",rngVisitante)))))</f>
        <v>0</v>
      </c>
      <c r="P29" s="5">
        <f t="array" ref="P29">SUM(IF(ISNUMBER(--LEFT(rngVisitante,FIND("-",rngVisitante)-1)),--LEFT(rngVisitante,FIND("-",rngVisitante)-1)))</f>
        <v>0</v>
      </c>
      <c r="Q29" s="5">
        <f t="shared" si="28"/>
        <v>0</v>
      </c>
      <c r="R29" s="5">
        <f t="shared" si="25"/>
        <v>0</v>
      </c>
      <c r="S29" s="6">
        <f t="shared" si="29"/>
        <v>0</v>
      </c>
      <c r="T29" s="6">
        <f t="shared" si="30"/>
        <v>0</v>
      </c>
      <c r="U29" s="6">
        <f t="shared" si="31"/>
        <v>0</v>
      </c>
      <c r="V29" s="6">
        <f t="shared" si="32"/>
        <v>0</v>
      </c>
      <c r="W29" s="6">
        <f t="shared" si="33"/>
        <v>0</v>
      </c>
      <c r="X29" s="6">
        <f t="shared" si="34"/>
        <v>0</v>
      </c>
      <c r="Y29" s="6">
        <f t="shared" si="35"/>
        <v>0</v>
      </c>
      <c r="Z29" s="6">
        <f t="shared" si="36"/>
        <v>0</v>
      </c>
      <c r="AA29" s="33">
        <f t="shared" si="37"/>
        <v>-2000029</v>
      </c>
    </row>
    <row r="30" spans="1:27" x14ac:dyDescent="0.2">
      <c r="A30" s="1">
        <f t="shared" si="10"/>
        <v>28</v>
      </c>
      <c r="B30" s="3" t="str">
        <f>Parametros!D29</f>
        <v>Equipo 28</v>
      </c>
      <c r="C30" s="4">
        <f>COUNTA(Resultados!C30:AP30)</f>
        <v>0</v>
      </c>
      <c r="D30" s="4">
        <f>COUNTIF('Resultados Auxiliar'!B30:AP30,"&gt;0")</f>
        <v>0</v>
      </c>
      <c r="E30" s="4">
        <f>COUNTIF('Resultados Auxiliar'!B30:AP30,"=0")</f>
        <v>0</v>
      </c>
      <c r="F30" s="4">
        <f>COUNTIF('Resultados Auxiliar'!B30:AP30,"&lt;0")</f>
        <v>0</v>
      </c>
      <c r="G30" s="4">
        <f t="array" ref="G30">SUM(IF(ISNUMBER(--LEFT(Resultados!C30:AP30,FIND("-",Resultados!C30:AP30)-1)),--LEFT(Resultados!C30:AP30,FIND("-",Resultados!C30:AP30)-1)))</f>
        <v>0</v>
      </c>
      <c r="H30" s="4">
        <f t="array" ref="H30">SUM(IF(ISNUMBER(--RIGHT(Resultados!C30:AP30,(LEN(Resultados!C30:AP30)-FIND("-",Resultados!C30:AP30)))),--RIGHT(Resultados!C30:AP30,(LEN(Resultados!C30:AP30)-FIND("-",Resultados!C30:AP30)))))</f>
        <v>0</v>
      </c>
      <c r="I30" s="4">
        <f t="shared" si="27"/>
        <v>0</v>
      </c>
      <c r="J30" s="4">
        <f t="shared" si="24"/>
        <v>0</v>
      </c>
      <c r="K30" s="5">
        <f>COUNTA(INDEX(Resultados!$A$3:$AP$42,,ROW()))</f>
        <v>0</v>
      </c>
      <c r="L30" s="5">
        <f>COUNTIF(INDEX('Resultados Auxiliar'!$B$3:$AO$42,,ROW()-2),"&lt;0")</f>
        <v>0</v>
      </c>
      <c r="M30" s="5">
        <f>COUNTIF(INDEX('Resultados Auxiliar'!$B$3:$AO$42,,ROW()-2),"=0")</f>
        <v>0</v>
      </c>
      <c r="N30" s="17">
        <f>COUNTIF(INDEX('Resultados Auxiliar'!$B$3:$AO$42,,ROW()-2),"&gt;0")</f>
        <v>0</v>
      </c>
      <c r="O30" s="5">
        <f t="array" ref="O30">SUM(IF(ISNUMBER(--RIGHT(rngVisitante,(LEN(rngVisitante)-FIND("-",rngVisitante)))),--RIGHT(rngVisitante,(LEN(rngVisitante)-FIND("-",rngVisitante)))))</f>
        <v>0</v>
      </c>
      <c r="P30" s="5">
        <f t="array" ref="P30">SUM(IF(ISNUMBER(--LEFT(rngVisitante,FIND("-",rngVisitante)-1)),--LEFT(rngVisitante,FIND("-",rngVisitante)-1)))</f>
        <v>0</v>
      </c>
      <c r="Q30" s="5">
        <f t="shared" si="28"/>
        <v>0</v>
      </c>
      <c r="R30" s="5">
        <f t="shared" si="25"/>
        <v>0</v>
      </c>
      <c r="S30" s="6">
        <f t="shared" si="29"/>
        <v>0</v>
      </c>
      <c r="T30" s="6">
        <f t="shared" si="30"/>
        <v>0</v>
      </c>
      <c r="U30" s="6">
        <f t="shared" si="31"/>
        <v>0</v>
      </c>
      <c r="V30" s="6">
        <f t="shared" si="32"/>
        <v>0</v>
      </c>
      <c r="W30" s="6">
        <f t="shared" si="33"/>
        <v>0</v>
      </c>
      <c r="X30" s="6">
        <f t="shared" si="34"/>
        <v>0</v>
      </c>
      <c r="Y30" s="6">
        <f t="shared" si="35"/>
        <v>0</v>
      </c>
      <c r="Z30" s="6">
        <f t="shared" si="36"/>
        <v>0</v>
      </c>
      <c r="AA30" s="33">
        <f t="shared" si="37"/>
        <v>-2000030</v>
      </c>
    </row>
    <row r="31" spans="1:27" x14ac:dyDescent="0.2">
      <c r="A31" s="1">
        <f t="shared" si="10"/>
        <v>29</v>
      </c>
      <c r="B31" s="3" t="str">
        <f>Parametros!D30</f>
        <v>Equipo 29</v>
      </c>
      <c r="C31" s="4">
        <f>COUNTA(Resultados!C31:AP31)</f>
        <v>0</v>
      </c>
      <c r="D31" s="4">
        <f>COUNTIF('Resultados Auxiliar'!B31:AP31,"&gt;0")</f>
        <v>0</v>
      </c>
      <c r="E31" s="4">
        <f>COUNTIF('Resultados Auxiliar'!B31:AP31,"=0")</f>
        <v>0</v>
      </c>
      <c r="F31" s="4">
        <f>COUNTIF('Resultados Auxiliar'!B31:AP31,"&lt;0")</f>
        <v>0</v>
      </c>
      <c r="G31" s="4">
        <f t="array" ref="G31">SUM(IF(ISNUMBER(--LEFT(Resultados!C31:AP31,FIND("-",Resultados!C31:AP31)-1)),--LEFT(Resultados!C31:AP31,FIND("-",Resultados!C31:AP31)-1)))</f>
        <v>0</v>
      </c>
      <c r="H31" s="4">
        <f t="array" ref="H31">SUM(IF(ISNUMBER(--RIGHT(Resultados!C31:AP31,(LEN(Resultados!C31:AP31)-FIND("-",Resultados!C31:AP31)))),--RIGHT(Resultados!C31:AP31,(LEN(Resultados!C31:AP31)-FIND("-",Resultados!C31:AP31)))))</f>
        <v>0</v>
      </c>
      <c r="I31" s="4">
        <f t="shared" si="27"/>
        <v>0</v>
      </c>
      <c r="J31" s="4">
        <f t="shared" si="24"/>
        <v>0</v>
      </c>
      <c r="K31" s="5">
        <f>COUNTA(INDEX(Resultados!$A$3:$AP$42,,ROW()))</f>
        <v>0</v>
      </c>
      <c r="L31" s="5">
        <f>COUNTIF(INDEX('Resultados Auxiliar'!$B$3:$AO$42,,ROW()-2),"&lt;0")</f>
        <v>0</v>
      </c>
      <c r="M31" s="5">
        <f>COUNTIF(INDEX('Resultados Auxiliar'!$B$3:$AO$42,,ROW()-2),"=0")</f>
        <v>0</v>
      </c>
      <c r="N31" s="17">
        <f>COUNTIF(INDEX('Resultados Auxiliar'!$B$3:$AO$42,,ROW()-2),"&gt;0")</f>
        <v>0</v>
      </c>
      <c r="O31" s="5">
        <f t="array" ref="O31">SUM(IF(ISNUMBER(--RIGHT(rngVisitante,(LEN(rngVisitante)-FIND("-",rngVisitante)))),--RIGHT(rngVisitante,(LEN(rngVisitante)-FIND("-",rngVisitante)))))</f>
        <v>0</v>
      </c>
      <c r="P31" s="5">
        <f t="array" ref="P31">SUM(IF(ISNUMBER(--LEFT(rngVisitante,FIND("-",rngVisitante)-1)),--LEFT(rngVisitante,FIND("-",rngVisitante)-1)))</f>
        <v>0</v>
      </c>
      <c r="Q31" s="5">
        <f t="shared" si="28"/>
        <v>0</v>
      </c>
      <c r="R31" s="5">
        <f t="shared" si="25"/>
        <v>0</v>
      </c>
      <c r="S31" s="6">
        <f t="shared" si="29"/>
        <v>0</v>
      </c>
      <c r="T31" s="6">
        <f t="shared" si="30"/>
        <v>0</v>
      </c>
      <c r="U31" s="6">
        <f t="shared" si="31"/>
        <v>0</v>
      </c>
      <c r="V31" s="6">
        <f t="shared" si="32"/>
        <v>0</v>
      </c>
      <c r="W31" s="6">
        <f t="shared" si="33"/>
        <v>0</v>
      </c>
      <c r="X31" s="6">
        <f t="shared" si="34"/>
        <v>0</v>
      </c>
      <c r="Y31" s="6">
        <f t="shared" si="35"/>
        <v>0</v>
      </c>
      <c r="Z31" s="6">
        <f t="shared" si="36"/>
        <v>0</v>
      </c>
      <c r="AA31" s="33">
        <f t="shared" si="37"/>
        <v>-2000031</v>
      </c>
    </row>
    <row r="32" spans="1:27" x14ac:dyDescent="0.2">
      <c r="A32" s="1">
        <f t="shared" si="10"/>
        <v>30</v>
      </c>
      <c r="B32" s="3" t="str">
        <f>Parametros!D31</f>
        <v>Equipo 30</v>
      </c>
      <c r="C32" s="4">
        <f>COUNTA(Resultados!C32:AP32)</f>
        <v>0</v>
      </c>
      <c r="D32" s="4">
        <f>COUNTIF('Resultados Auxiliar'!B32:AP32,"&gt;0")</f>
        <v>0</v>
      </c>
      <c r="E32" s="4">
        <f>COUNTIF('Resultados Auxiliar'!B32:AP32,"=0")</f>
        <v>0</v>
      </c>
      <c r="F32" s="4">
        <f>COUNTIF('Resultados Auxiliar'!B32:AP32,"&lt;0")</f>
        <v>0</v>
      </c>
      <c r="G32" s="4">
        <f t="array" ref="G32">SUM(IF(ISNUMBER(--LEFT(Resultados!C32:AP32,FIND("-",Resultados!C32:AP32)-1)),--LEFT(Resultados!C32:AP32,FIND("-",Resultados!C32:AP32)-1)))</f>
        <v>0</v>
      </c>
      <c r="H32" s="4">
        <f t="array" ref="H32">SUM(IF(ISNUMBER(--RIGHT(Resultados!C32:AP32,(LEN(Resultados!C32:AP32)-FIND("-",Resultados!C32:AP32)))),--RIGHT(Resultados!C32:AP32,(LEN(Resultados!C32:AP32)-FIND("-",Resultados!C32:AP32)))))</f>
        <v>0</v>
      </c>
      <c r="I32" s="4">
        <f t="shared" si="27"/>
        <v>0</v>
      </c>
      <c r="J32" s="4">
        <f t="shared" si="24"/>
        <v>0</v>
      </c>
      <c r="K32" s="5">
        <f>COUNTA(INDEX(Resultados!$A$3:$AP$42,,ROW()))</f>
        <v>0</v>
      </c>
      <c r="L32" s="5">
        <f>COUNTIF(INDEX('Resultados Auxiliar'!$B$3:$AO$42,,ROW()-2),"&lt;0")</f>
        <v>0</v>
      </c>
      <c r="M32" s="5">
        <f>COUNTIF(INDEX('Resultados Auxiliar'!$B$3:$AO$42,,ROW()-2),"=0")</f>
        <v>0</v>
      </c>
      <c r="N32" s="17">
        <f>COUNTIF(INDEX('Resultados Auxiliar'!$B$3:$AO$42,,ROW()-2),"&gt;0")</f>
        <v>0</v>
      </c>
      <c r="O32" s="5">
        <f t="array" ref="O32">SUM(IF(ISNUMBER(--RIGHT(rngVisitante,(LEN(rngVisitante)-FIND("-",rngVisitante)))),--RIGHT(rngVisitante,(LEN(rngVisitante)-FIND("-",rngVisitante)))))</f>
        <v>0</v>
      </c>
      <c r="P32" s="5">
        <f t="array" ref="P32">SUM(IF(ISNUMBER(--LEFT(rngVisitante,FIND("-",rngVisitante)-1)),--LEFT(rngVisitante,FIND("-",rngVisitante)-1)))</f>
        <v>0</v>
      </c>
      <c r="Q32" s="5">
        <f t="shared" si="28"/>
        <v>0</v>
      </c>
      <c r="R32" s="5">
        <f t="shared" si="25"/>
        <v>0</v>
      </c>
      <c r="S32" s="6">
        <f t="shared" si="29"/>
        <v>0</v>
      </c>
      <c r="T32" s="6">
        <f t="shared" si="30"/>
        <v>0</v>
      </c>
      <c r="U32" s="6">
        <f t="shared" si="31"/>
        <v>0</v>
      </c>
      <c r="V32" s="6">
        <f t="shared" si="32"/>
        <v>0</v>
      </c>
      <c r="W32" s="6">
        <f t="shared" si="33"/>
        <v>0</v>
      </c>
      <c r="X32" s="6">
        <f t="shared" si="34"/>
        <v>0</v>
      </c>
      <c r="Y32" s="6">
        <f t="shared" si="35"/>
        <v>0</v>
      </c>
      <c r="Z32" s="6">
        <f t="shared" si="36"/>
        <v>0</v>
      </c>
      <c r="AA32" s="33">
        <f t="shared" si="37"/>
        <v>-2000032</v>
      </c>
    </row>
    <row r="33" spans="1:27" x14ac:dyDescent="0.2">
      <c r="A33" s="1">
        <f t="shared" si="10"/>
        <v>31</v>
      </c>
      <c r="B33" s="3" t="str">
        <f>Parametros!D32</f>
        <v>Equipo 31</v>
      </c>
      <c r="C33" s="4">
        <f>COUNTA(Resultados!C33:AP33)</f>
        <v>0</v>
      </c>
      <c r="D33" s="4">
        <f>COUNTIF('Resultados Auxiliar'!B33:AP33,"&gt;0")</f>
        <v>0</v>
      </c>
      <c r="E33" s="4">
        <f>COUNTIF('Resultados Auxiliar'!B33:AP33,"=0")</f>
        <v>0</v>
      </c>
      <c r="F33" s="4">
        <f>COUNTIF('Resultados Auxiliar'!B33:AP33,"&lt;0")</f>
        <v>0</v>
      </c>
      <c r="G33" s="4">
        <f t="array" ref="G33">SUM(IF(ISNUMBER(--LEFT(Resultados!C33:AP33,FIND("-",Resultados!C33:AP33)-1)),--LEFT(Resultados!C33:AP33,FIND("-",Resultados!C33:AP33)-1)))</f>
        <v>0</v>
      </c>
      <c r="H33" s="4">
        <f t="array" ref="H33">SUM(IF(ISNUMBER(--RIGHT(Resultados!C33:AP33,(LEN(Resultados!C33:AP33)-FIND("-",Resultados!C33:AP33)))),--RIGHT(Resultados!C33:AP33,(LEN(Resultados!C33:AP33)-FIND("-",Resultados!C33:AP33)))))</f>
        <v>0</v>
      </c>
      <c r="I33" s="4">
        <f t="shared" si="27"/>
        <v>0</v>
      </c>
      <c r="J33" s="4">
        <f t="shared" si="24"/>
        <v>0</v>
      </c>
      <c r="K33" s="5">
        <f>COUNTA(INDEX(Resultados!$A$3:$AP$42,,ROW()))</f>
        <v>0</v>
      </c>
      <c r="L33" s="5">
        <f>COUNTIF(INDEX('Resultados Auxiliar'!$B$3:$AO$42,,ROW()-2),"&lt;0")</f>
        <v>0</v>
      </c>
      <c r="M33" s="5">
        <f>COUNTIF(INDEX('Resultados Auxiliar'!$B$3:$AO$42,,ROW()-2),"=0")</f>
        <v>0</v>
      </c>
      <c r="N33" s="17">
        <f>COUNTIF(INDEX('Resultados Auxiliar'!$B$3:$AO$42,,ROW()-2),"&gt;0")</f>
        <v>0</v>
      </c>
      <c r="O33" s="5">
        <f t="array" ref="O33">SUM(IF(ISNUMBER(--RIGHT(rngVisitante,(LEN(rngVisitante)-FIND("-",rngVisitante)))),--RIGHT(rngVisitante,(LEN(rngVisitante)-FIND("-",rngVisitante)))))</f>
        <v>0</v>
      </c>
      <c r="P33" s="5">
        <f t="array" ref="P33">SUM(IF(ISNUMBER(--LEFT(rngVisitante,FIND("-",rngVisitante)-1)),--LEFT(rngVisitante,FIND("-",rngVisitante)-1)))</f>
        <v>0</v>
      </c>
      <c r="Q33" s="5">
        <f t="shared" si="28"/>
        <v>0</v>
      </c>
      <c r="R33" s="5">
        <f t="shared" si="25"/>
        <v>0</v>
      </c>
      <c r="S33" s="6">
        <f t="shared" si="29"/>
        <v>0</v>
      </c>
      <c r="T33" s="6">
        <f t="shared" si="30"/>
        <v>0</v>
      </c>
      <c r="U33" s="6">
        <f t="shared" si="31"/>
        <v>0</v>
      </c>
      <c r="V33" s="6">
        <f t="shared" si="32"/>
        <v>0</v>
      </c>
      <c r="W33" s="6">
        <f t="shared" si="33"/>
        <v>0</v>
      </c>
      <c r="X33" s="6">
        <f t="shared" si="34"/>
        <v>0</v>
      </c>
      <c r="Y33" s="6">
        <f t="shared" si="35"/>
        <v>0</v>
      </c>
      <c r="Z33" s="6">
        <f t="shared" si="36"/>
        <v>0</v>
      </c>
      <c r="AA33" s="33">
        <f t="shared" si="37"/>
        <v>-2000033</v>
      </c>
    </row>
    <row r="34" spans="1:27" x14ac:dyDescent="0.2">
      <c r="A34" s="1">
        <f t="shared" si="10"/>
        <v>32</v>
      </c>
      <c r="B34" s="3" t="str">
        <f>Parametros!D33</f>
        <v>Equipo 32</v>
      </c>
      <c r="C34" s="4">
        <f>COUNTA(Resultados!C34:AP34)</f>
        <v>0</v>
      </c>
      <c r="D34" s="4">
        <f>COUNTIF('Resultados Auxiliar'!B34:AP34,"&gt;0")</f>
        <v>0</v>
      </c>
      <c r="E34" s="4">
        <f>COUNTIF('Resultados Auxiliar'!B34:AP34,"=0")</f>
        <v>0</v>
      </c>
      <c r="F34" s="4">
        <f>COUNTIF('Resultados Auxiliar'!B34:AP34,"&lt;0")</f>
        <v>0</v>
      </c>
      <c r="G34" s="4">
        <f t="array" ref="G34">SUM(IF(ISNUMBER(--LEFT(Resultados!C34:AP34,FIND("-",Resultados!C34:AP34)-1)),--LEFT(Resultados!C34:AP34,FIND("-",Resultados!C34:AP34)-1)))</f>
        <v>0</v>
      </c>
      <c r="H34" s="4">
        <f t="array" ref="H34">SUM(IF(ISNUMBER(--RIGHT(Resultados!C34:AP34,(LEN(Resultados!C34:AP34)-FIND("-",Resultados!C34:AP34)))),--RIGHT(Resultados!C34:AP34,(LEN(Resultados!C34:AP34)-FIND("-",Resultados!C34:AP34)))))</f>
        <v>0</v>
      </c>
      <c r="I34" s="4">
        <f t="shared" si="27"/>
        <v>0</v>
      </c>
      <c r="J34" s="4">
        <f t="shared" si="24"/>
        <v>0</v>
      </c>
      <c r="K34" s="5">
        <f>COUNTA(INDEX(Resultados!$A$3:$AP$42,,ROW()))</f>
        <v>0</v>
      </c>
      <c r="L34" s="5">
        <f>COUNTIF(INDEX('Resultados Auxiliar'!$B$3:$AO$42,,ROW()-2),"&lt;0")</f>
        <v>0</v>
      </c>
      <c r="M34" s="5">
        <f>COUNTIF(INDEX('Resultados Auxiliar'!$B$3:$AO$42,,ROW()-2),"=0")</f>
        <v>0</v>
      </c>
      <c r="N34" s="17">
        <f>COUNTIF(INDEX('Resultados Auxiliar'!$B$3:$AO$42,,ROW()-2),"&gt;0")</f>
        <v>0</v>
      </c>
      <c r="O34" s="5">
        <f t="array" ref="O34">SUM(IF(ISNUMBER(--RIGHT(rngVisitante,(LEN(rngVisitante)-FIND("-",rngVisitante)))),--RIGHT(rngVisitante,(LEN(rngVisitante)-FIND("-",rngVisitante)))))</f>
        <v>0</v>
      </c>
      <c r="P34" s="5">
        <f t="array" ref="P34">SUM(IF(ISNUMBER(--LEFT(rngVisitante,FIND("-",rngVisitante)-1)),--LEFT(rngVisitante,FIND("-",rngVisitante)-1)))</f>
        <v>0</v>
      </c>
      <c r="Q34" s="5">
        <f t="shared" si="28"/>
        <v>0</v>
      </c>
      <c r="R34" s="5">
        <f t="shared" si="25"/>
        <v>0</v>
      </c>
      <c r="S34" s="6">
        <f t="shared" si="29"/>
        <v>0</v>
      </c>
      <c r="T34" s="6">
        <f t="shared" si="30"/>
        <v>0</v>
      </c>
      <c r="U34" s="6">
        <f t="shared" si="31"/>
        <v>0</v>
      </c>
      <c r="V34" s="6">
        <f t="shared" si="32"/>
        <v>0</v>
      </c>
      <c r="W34" s="6">
        <f t="shared" si="33"/>
        <v>0</v>
      </c>
      <c r="X34" s="6">
        <f t="shared" si="34"/>
        <v>0</v>
      </c>
      <c r="Y34" s="6">
        <f t="shared" si="35"/>
        <v>0</v>
      </c>
      <c r="Z34" s="6">
        <f t="shared" si="36"/>
        <v>0</v>
      </c>
      <c r="AA34" s="33">
        <f t="shared" si="37"/>
        <v>-2000034</v>
      </c>
    </row>
    <row r="35" spans="1:27" x14ac:dyDescent="0.2">
      <c r="A35" s="1">
        <f t="shared" si="10"/>
        <v>33</v>
      </c>
      <c r="B35" s="3" t="str">
        <f>Parametros!D34</f>
        <v>Equipo 33</v>
      </c>
      <c r="C35" s="4">
        <f>COUNTA(Resultados!C35:AP35)</f>
        <v>0</v>
      </c>
      <c r="D35" s="4">
        <f>COUNTIF('Resultados Auxiliar'!B35:AP35,"&gt;0")</f>
        <v>0</v>
      </c>
      <c r="E35" s="4">
        <f>COUNTIF('Resultados Auxiliar'!B35:AP35,"=0")</f>
        <v>0</v>
      </c>
      <c r="F35" s="4">
        <f>COUNTIF('Resultados Auxiliar'!B35:AP35,"&lt;0")</f>
        <v>0</v>
      </c>
      <c r="G35" s="4">
        <f t="array" ref="G35">SUM(IF(ISNUMBER(--LEFT(Resultados!C35:AP35,FIND("-",Resultados!C35:AP35)-1)),--LEFT(Resultados!C35:AP35,FIND("-",Resultados!C35:AP35)-1)))</f>
        <v>0</v>
      </c>
      <c r="H35" s="4">
        <f t="array" ref="H35">SUM(IF(ISNUMBER(--RIGHT(Resultados!C35:AP35,(LEN(Resultados!C35:AP35)-FIND("-",Resultados!C35:AP35)))),--RIGHT(Resultados!C35:AP35,(LEN(Resultados!C35:AP35)-FIND("-",Resultados!C35:AP35)))))</f>
        <v>0</v>
      </c>
      <c r="I35" s="4">
        <f t="shared" si="27"/>
        <v>0</v>
      </c>
      <c r="J35" s="4">
        <f t="shared" si="24"/>
        <v>0</v>
      </c>
      <c r="K35" s="5">
        <f>COUNTA(INDEX(Resultados!$A$3:$AP$42,,ROW()))</f>
        <v>0</v>
      </c>
      <c r="L35" s="5">
        <f>COUNTIF(INDEX('Resultados Auxiliar'!$B$3:$AO$42,,ROW()-2),"&lt;0")</f>
        <v>0</v>
      </c>
      <c r="M35" s="5">
        <f>COUNTIF(INDEX('Resultados Auxiliar'!$B$3:$AO$42,,ROW()-2),"=0")</f>
        <v>0</v>
      </c>
      <c r="N35" s="17">
        <f>COUNTIF(INDEX('Resultados Auxiliar'!$B$3:$AO$42,,ROW()-2),"&gt;0")</f>
        <v>0</v>
      </c>
      <c r="O35" s="5">
        <f t="array" ref="O35">SUM(IF(ISNUMBER(--RIGHT(rngVisitante,(LEN(rngVisitante)-FIND("-",rngVisitante)))),--RIGHT(rngVisitante,(LEN(rngVisitante)-FIND("-",rngVisitante)))))</f>
        <v>0</v>
      </c>
      <c r="P35" s="5">
        <f t="array" ref="P35">SUM(IF(ISNUMBER(--LEFT(rngVisitante,FIND("-",rngVisitante)-1)),--LEFT(rngVisitante,FIND("-",rngVisitante)-1)))</f>
        <v>0</v>
      </c>
      <c r="Q35" s="5">
        <f t="shared" si="28"/>
        <v>0</v>
      </c>
      <c r="R35" s="5">
        <f t="shared" si="25"/>
        <v>0</v>
      </c>
      <c r="S35" s="6">
        <f t="shared" si="29"/>
        <v>0</v>
      </c>
      <c r="T35" s="6">
        <f t="shared" si="30"/>
        <v>0</v>
      </c>
      <c r="U35" s="6">
        <f t="shared" si="31"/>
        <v>0</v>
      </c>
      <c r="V35" s="6">
        <f t="shared" si="32"/>
        <v>0</v>
      </c>
      <c r="W35" s="6">
        <f t="shared" si="33"/>
        <v>0</v>
      </c>
      <c r="X35" s="6">
        <f t="shared" si="34"/>
        <v>0</v>
      </c>
      <c r="Y35" s="6">
        <f t="shared" si="35"/>
        <v>0</v>
      </c>
      <c r="Z35" s="6">
        <f t="shared" si="36"/>
        <v>0</v>
      </c>
      <c r="AA35" s="33">
        <f t="shared" si="37"/>
        <v>-2000035</v>
      </c>
    </row>
    <row r="36" spans="1:27" x14ac:dyDescent="0.2">
      <c r="A36" s="1">
        <f t="shared" si="10"/>
        <v>34</v>
      </c>
      <c r="B36" s="3" t="str">
        <f>Parametros!D35</f>
        <v>Equipo 34</v>
      </c>
      <c r="C36" s="4">
        <f>COUNTA(Resultados!C36:AP36)</f>
        <v>0</v>
      </c>
      <c r="D36" s="4">
        <f>COUNTIF('Resultados Auxiliar'!B36:AP36,"&gt;0")</f>
        <v>0</v>
      </c>
      <c r="E36" s="4">
        <f>COUNTIF('Resultados Auxiliar'!B36:AP36,"=0")</f>
        <v>0</v>
      </c>
      <c r="F36" s="4">
        <f>COUNTIF('Resultados Auxiliar'!B36:AP36,"&lt;0")</f>
        <v>0</v>
      </c>
      <c r="G36" s="4">
        <f t="array" ref="G36">SUM(IF(ISNUMBER(--LEFT(Resultados!C36:AP36,FIND("-",Resultados!C36:AP36)-1)),--LEFT(Resultados!C36:AP36,FIND("-",Resultados!C36:AP36)-1)))</f>
        <v>0</v>
      </c>
      <c r="H36" s="4">
        <f t="array" ref="H36">SUM(IF(ISNUMBER(--RIGHT(Resultados!C36:AP36,(LEN(Resultados!C36:AP36)-FIND("-",Resultados!C36:AP36)))),--RIGHT(Resultados!C36:AP36,(LEN(Resultados!C36:AP36)-FIND("-",Resultados!C36:AP36)))))</f>
        <v>0</v>
      </c>
      <c r="I36" s="4">
        <f t="shared" si="27"/>
        <v>0</v>
      </c>
      <c r="J36" s="4">
        <f t="shared" si="24"/>
        <v>0</v>
      </c>
      <c r="K36" s="5">
        <f>COUNTA(INDEX(Resultados!$A$3:$AP$42,,ROW()))</f>
        <v>0</v>
      </c>
      <c r="L36" s="5">
        <f>COUNTIF(INDEX('Resultados Auxiliar'!$B$3:$AO$42,,ROW()-2),"&lt;0")</f>
        <v>0</v>
      </c>
      <c r="M36" s="5">
        <f>COUNTIF(INDEX('Resultados Auxiliar'!$B$3:$AO$42,,ROW()-2),"=0")</f>
        <v>0</v>
      </c>
      <c r="N36" s="17">
        <f>COUNTIF(INDEX('Resultados Auxiliar'!$B$3:$AO$42,,ROW()-2),"&gt;0")</f>
        <v>0</v>
      </c>
      <c r="O36" s="5">
        <f t="array" ref="O36">SUM(IF(ISNUMBER(--RIGHT(rngVisitante,(LEN(rngVisitante)-FIND("-",rngVisitante)))),--RIGHT(rngVisitante,(LEN(rngVisitante)-FIND("-",rngVisitante)))))</f>
        <v>0</v>
      </c>
      <c r="P36" s="5">
        <f t="array" ref="P36">SUM(IF(ISNUMBER(--LEFT(rngVisitante,FIND("-",rngVisitante)-1)),--LEFT(rngVisitante,FIND("-",rngVisitante)-1)))</f>
        <v>0</v>
      </c>
      <c r="Q36" s="5">
        <f t="shared" si="28"/>
        <v>0</v>
      </c>
      <c r="R36" s="5">
        <f t="shared" si="25"/>
        <v>0</v>
      </c>
      <c r="S36" s="6">
        <f t="shared" si="29"/>
        <v>0</v>
      </c>
      <c r="T36" s="6">
        <f t="shared" si="30"/>
        <v>0</v>
      </c>
      <c r="U36" s="6">
        <f t="shared" si="31"/>
        <v>0</v>
      </c>
      <c r="V36" s="6">
        <f t="shared" si="32"/>
        <v>0</v>
      </c>
      <c r="W36" s="6">
        <f t="shared" si="33"/>
        <v>0</v>
      </c>
      <c r="X36" s="6">
        <f t="shared" si="34"/>
        <v>0</v>
      </c>
      <c r="Y36" s="6">
        <f t="shared" si="35"/>
        <v>0</v>
      </c>
      <c r="Z36" s="6">
        <f t="shared" si="36"/>
        <v>0</v>
      </c>
      <c r="AA36" s="33">
        <f t="shared" si="37"/>
        <v>-2000036</v>
      </c>
    </row>
    <row r="37" spans="1:27" x14ac:dyDescent="0.2">
      <c r="A37" s="1">
        <f t="shared" si="10"/>
        <v>35</v>
      </c>
      <c r="B37" s="3" t="str">
        <f>Parametros!D36</f>
        <v>Equipo 35</v>
      </c>
      <c r="C37" s="4">
        <f>COUNTA(Resultados!C37:AP37)</f>
        <v>0</v>
      </c>
      <c r="D37" s="4">
        <f>COUNTIF('Resultados Auxiliar'!B37:AP37,"&gt;0")</f>
        <v>0</v>
      </c>
      <c r="E37" s="4">
        <f>COUNTIF('Resultados Auxiliar'!B37:AP37,"=0")</f>
        <v>0</v>
      </c>
      <c r="F37" s="4">
        <f>COUNTIF('Resultados Auxiliar'!B37:AP37,"&lt;0")</f>
        <v>0</v>
      </c>
      <c r="G37" s="4">
        <f t="array" ref="G37">SUM(IF(ISNUMBER(--LEFT(Resultados!C37:AP37,FIND("-",Resultados!C37:AP37)-1)),--LEFT(Resultados!C37:AP37,FIND("-",Resultados!C37:AP37)-1)))</f>
        <v>0</v>
      </c>
      <c r="H37" s="4">
        <f t="array" ref="H37">SUM(IF(ISNUMBER(--RIGHT(Resultados!C37:AP37,(LEN(Resultados!C37:AP37)-FIND("-",Resultados!C37:AP37)))),--RIGHT(Resultados!C37:AP37,(LEN(Resultados!C37:AP37)-FIND("-",Resultados!C37:AP37)))))</f>
        <v>0</v>
      </c>
      <c r="I37" s="4">
        <f t="shared" si="27"/>
        <v>0</v>
      </c>
      <c r="J37" s="4">
        <f t="shared" si="24"/>
        <v>0</v>
      </c>
      <c r="K37" s="5">
        <f>COUNTA(INDEX(Resultados!$A$3:$AP$42,,ROW()))</f>
        <v>0</v>
      </c>
      <c r="L37" s="5">
        <f>COUNTIF(INDEX('Resultados Auxiliar'!$B$3:$AO$42,,ROW()-2),"&lt;0")</f>
        <v>0</v>
      </c>
      <c r="M37" s="5">
        <f>COUNTIF(INDEX('Resultados Auxiliar'!$B$3:$AO$42,,ROW()-2),"=0")</f>
        <v>0</v>
      </c>
      <c r="N37" s="17">
        <f>COUNTIF(INDEX('Resultados Auxiliar'!$B$3:$AO$42,,ROW()-2),"&gt;0")</f>
        <v>0</v>
      </c>
      <c r="O37" s="5">
        <f t="array" ref="O37">SUM(IF(ISNUMBER(--RIGHT(rngVisitante,(LEN(rngVisitante)-FIND("-",rngVisitante)))),--RIGHT(rngVisitante,(LEN(rngVisitante)-FIND("-",rngVisitante)))))</f>
        <v>0</v>
      </c>
      <c r="P37" s="5">
        <f t="array" ref="P37">SUM(IF(ISNUMBER(--LEFT(rngVisitante,FIND("-",rngVisitante)-1)),--LEFT(rngVisitante,FIND("-",rngVisitante)-1)))</f>
        <v>0</v>
      </c>
      <c r="Q37" s="5">
        <f t="shared" si="28"/>
        <v>0</v>
      </c>
      <c r="R37" s="5">
        <f t="shared" si="25"/>
        <v>0</v>
      </c>
      <c r="S37" s="6">
        <f t="shared" si="29"/>
        <v>0</v>
      </c>
      <c r="T37" s="6">
        <f t="shared" si="30"/>
        <v>0</v>
      </c>
      <c r="U37" s="6">
        <f t="shared" si="31"/>
        <v>0</v>
      </c>
      <c r="V37" s="6">
        <f t="shared" si="32"/>
        <v>0</v>
      </c>
      <c r="W37" s="6">
        <f t="shared" si="33"/>
        <v>0</v>
      </c>
      <c r="X37" s="6">
        <f t="shared" si="34"/>
        <v>0</v>
      </c>
      <c r="Y37" s="6">
        <f t="shared" si="35"/>
        <v>0</v>
      </c>
      <c r="Z37" s="6">
        <f t="shared" si="36"/>
        <v>0</v>
      </c>
      <c r="AA37" s="33">
        <f t="shared" si="37"/>
        <v>-2000037</v>
      </c>
    </row>
    <row r="38" spans="1:27" x14ac:dyDescent="0.2">
      <c r="A38" s="1">
        <f t="shared" si="10"/>
        <v>36</v>
      </c>
      <c r="B38" s="3" t="str">
        <f>Parametros!D37</f>
        <v>Equipo 36</v>
      </c>
      <c r="C38" s="4">
        <f>COUNTA(Resultados!C38:AP38)</f>
        <v>0</v>
      </c>
      <c r="D38" s="4">
        <f>COUNTIF('Resultados Auxiliar'!B38:AP38,"&gt;0")</f>
        <v>0</v>
      </c>
      <c r="E38" s="4">
        <f>COUNTIF('Resultados Auxiliar'!B38:AP38,"=0")</f>
        <v>0</v>
      </c>
      <c r="F38" s="4">
        <f>COUNTIF('Resultados Auxiliar'!B38:AP38,"&lt;0")</f>
        <v>0</v>
      </c>
      <c r="G38" s="4">
        <f t="array" ref="G38">SUM(IF(ISNUMBER(--LEFT(Resultados!C38:AP38,FIND("-",Resultados!C38:AP38)-1)),--LEFT(Resultados!C38:AP38,FIND("-",Resultados!C38:AP38)-1)))</f>
        <v>0</v>
      </c>
      <c r="H38" s="4">
        <f t="array" ref="H38">SUM(IF(ISNUMBER(--RIGHT(Resultados!C38:AP38,(LEN(Resultados!C38:AP38)-FIND("-",Resultados!C38:AP38)))),--RIGHT(Resultados!C38:AP38,(LEN(Resultados!C38:AP38)-FIND("-",Resultados!C38:AP38)))))</f>
        <v>0</v>
      </c>
      <c r="I38" s="4">
        <f t="shared" si="27"/>
        <v>0</v>
      </c>
      <c r="J38" s="4">
        <f t="shared" si="24"/>
        <v>0</v>
      </c>
      <c r="K38" s="5">
        <f>COUNTA(INDEX(Resultados!$A$3:$AP$42,,ROW()))</f>
        <v>0</v>
      </c>
      <c r="L38" s="5">
        <f>COUNTIF(INDEX('Resultados Auxiliar'!$B$3:$AO$42,,ROW()-2),"&lt;0")</f>
        <v>0</v>
      </c>
      <c r="M38" s="5">
        <f>COUNTIF(INDEX('Resultados Auxiliar'!$B$3:$AO$42,,ROW()-2),"=0")</f>
        <v>0</v>
      </c>
      <c r="N38" s="17">
        <f>COUNTIF(INDEX('Resultados Auxiliar'!$B$3:$AO$42,,ROW()-2),"&gt;0")</f>
        <v>0</v>
      </c>
      <c r="O38" s="5">
        <f t="array" ref="O38">SUM(IF(ISNUMBER(--RIGHT(rngVisitante,(LEN(rngVisitante)-FIND("-",rngVisitante)))),--RIGHT(rngVisitante,(LEN(rngVisitante)-FIND("-",rngVisitante)))))</f>
        <v>0</v>
      </c>
      <c r="P38" s="5">
        <f t="array" ref="P38">SUM(IF(ISNUMBER(--LEFT(rngVisitante,FIND("-",rngVisitante)-1)),--LEFT(rngVisitante,FIND("-",rngVisitante)-1)))</f>
        <v>0</v>
      </c>
      <c r="Q38" s="5">
        <f t="shared" si="28"/>
        <v>0</v>
      </c>
      <c r="R38" s="5">
        <f t="shared" si="25"/>
        <v>0</v>
      </c>
      <c r="S38" s="6">
        <f t="shared" si="29"/>
        <v>0</v>
      </c>
      <c r="T38" s="6">
        <f t="shared" si="30"/>
        <v>0</v>
      </c>
      <c r="U38" s="6">
        <f t="shared" si="31"/>
        <v>0</v>
      </c>
      <c r="V38" s="6">
        <f t="shared" si="32"/>
        <v>0</v>
      </c>
      <c r="W38" s="6">
        <f t="shared" si="33"/>
        <v>0</v>
      </c>
      <c r="X38" s="6">
        <f t="shared" si="34"/>
        <v>0</v>
      </c>
      <c r="Y38" s="6">
        <f t="shared" si="35"/>
        <v>0</v>
      </c>
      <c r="Z38" s="6">
        <f t="shared" si="36"/>
        <v>0</v>
      </c>
      <c r="AA38" s="33">
        <f t="shared" si="37"/>
        <v>-2000038</v>
      </c>
    </row>
    <row r="39" spans="1:27" x14ac:dyDescent="0.2">
      <c r="A39" s="1">
        <f t="shared" si="10"/>
        <v>37</v>
      </c>
      <c r="B39" s="3" t="str">
        <f>Parametros!D38</f>
        <v>Equipo 37</v>
      </c>
      <c r="C39" s="4">
        <f>COUNTA(Resultados!C39:AP39)</f>
        <v>0</v>
      </c>
      <c r="D39" s="4">
        <f>COUNTIF('Resultados Auxiliar'!B39:AP39,"&gt;0")</f>
        <v>0</v>
      </c>
      <c r="E39" s="4">
        <f>COUNTIF('Resultados Auxiliar'!B39:AP39,"=0")</f>
        <v>0</v>
      </c>
      <c r="F39" s="4">
        <f>COUNTIF('Resultados Auxiliar'!B39:AP39,"&lt;0")</f>
        <v>0</v>
      </c>
      <c r="G39" s="4">
        <f t="array" ref="G39">SUM(IF(ISNUMBER(--LEFT(Resultados!C39:AP39,FIND("-",Resultados!C39:AP39)-1)),--LEFT(Resultados!C39:AP39,FIND("-",Resultados!C39:AP39)-1)))</f>
        <v>0</v>
      </c>
      <c r="H39" s="4">
        <f t="array" ref="H39">SUM(IF(ISNUMBER(--RIGHT(Resultados!C39:AP39,(LEN(Resultados!C39:AP39)-FIND("-",Resultados!C39:AP39)))),--RIGHT(Resultados!C39:AP39,(LEN(Resultados!C39:AP39)-FIND("-",Resultados!C39:AP39)))))</f>
        <v>0</v>
      </c>
      <c r="I39" s="4">
        <f t="shared" si="27"/>
        <v>0</v>
      </c>
      <c r="J39" s="4">
        <f t="shared" si="24"/>
        <v>0</v>
      </c>
      <c r="K39" s="5">
        <f>COUNTA(INDEX(Resultados!$A$3:$AP$42,,ROW()))</f>
        <v>0</v>
      </c>
      <c r="L39" s="5">
        <f>COUNTIF(INDEX('Resultados Auxiliar'!$B$3:$AO$42,,ROW()-2),"&lt;0")</f>
        <v>0</v>
      </c>
      <c r="M39" s="5">
        <f>COUNTIF(INDEX('Resultados Auxiliar'!$B$3:$AO$42,,ROW()-2),"=0")</f>
        <v>0</v>
      </c>
      <c r="N39" s="17">
        <f>COUNTIF(INDEX('Resultados Auxiliar'!$B$3:$AO$42,,ROW()-2),"&gt;0")</f>
        <v>0</v>
      </c>
      <c r="O39" s="5">
        <f t="array" ref="O39">SUM(IF(ISNUMBER(--RIGHT(rngVisitante,(LEN(rngVisitante)-FIND("-",rngVisitante)))),--RIGHT(rngVisitante,(LEN(rngVisitante)-FIND("-",rngVisitante)))))</f>
        <v>0</v>
      </c>
      <c r="P39" s="5">
        <f t="array" ref="P39">SUM(IF(ISNUMBER(--LEFT(rngVisitante,FIND("-",rngVisitante)-1)),--LEFT(rngVisitante,FIND("-",rngVisitante)-1)))</f>
        <v>0</v>
      </c>
      <c r="Q39" s="5">
        <f t="shared" si="28"/>
        <v>0</v>
      </c>
      <c r="R39" s="5">
        <f t="shared" si="25"/>
        <v>0</v>
      </c>
      <c r="S39" s="6">
        <f t="shared" si="29"/>
        <v>0</v>
      </c>
      <c r="T39" s="6">
        <f t="shared" si="30"/>
        <v>0</v>
      </c>
      <c r="U39" s="6">
        <f t="shared" si="31"/>
        <v>0</v>
      </c>
      <c r="V39" s="6">
        <f t="shared" si="32"/>
        <v>0</v>
      </c>
      <c r="W39" s="6">
        <f t="shared" si="33"/>
        <v>0</v>
      </c>
      <c r="X39" s="6">
        <f t="shared" si="34"/>
        <v>0</v>
      </c>
      <c r="Y39" s="6">
        <f t="shared" si="35"/>
        <v>0</v>
      </c>
      <c r="Z39" s="6">
        <f t="shared" si="36"/>
        <v>0</v>
      </c>
      <c r="AA39" s="33">
        <f t="shared" si="37"/>
        <v>-2000039</v>
      </c>
    </row>
    <row r="40" spans="1:27" x14ac:dyDescent="0.2">
      <c r="A40" s="1">
        <f t="shared" si="10"/>
        <v>38</v>
      </c>
      <c r="B40" s="3" t="str">
        <f>Parametros!D39</f>
        <v>Equipo 38</v>
      </c>
      <c r="C40" s="4">
        <f>COUNTA(Resultados!C40:AP40)</f>
        <v>0</v>
      </c>
      <c r="D40" s="4">
        <f>COUNTIF('Resultados Auxiliar'!B40:AP40,"&gt;0")</f>
        <v>0</v>
      </c>
      <c r="E40" s="4">
        <f>COUNTIF('Resultados Auxiliar'!B40:AP40,"=0")</f>
        <v>0</v>
      </c>
      <c r="F40" s="4">
        <f>COUNTIF('Resultados Auxiliar'!B40:AP40,"&lt;0")</f>
        <v>0</v>
      </c>
      <c r="G40" s="4">
        <f t="array" ref="G40">SUM(IF(ISNUMBER(--LEFT(Resultados!C40:AP40,FIND("-",Resultados!C40:AP40)-1)),--LEFT(Resultados!C40:AP40,FIND("-",Resultados!C40:AP40)-1)))</f>
        <v>0</v>
      </c>
      <c r="H40" s="4">
        <f t="array" ref="H40">SUM(IF(ISNUMBER(--RIGHT(Resultados!C40:AP40,(LEN(Resultados!C40:AP40)-FIND("-",Resultados!C40:AP40)))),--RIGHT(Resultados!C40:AP40,(LEN(Resultados!C40:AP40)-FIND("-",Resultados!C40:AP40)))))</f>
        <v>0</v>
      </c>
      <c r="I40" s="4">
        <f t="shared" si="27"/>
        <v>0</v>
      </c>
      <c r="J40" s="4">
        <f t="shared" si="24"/>
        <v>0</v>
      </c>
      <c r="K40" s="5">
        <f>COUNTA(INDEX(Resultados!$A$3:$AP$42,,ROW()))</f>
        <v>0</v>
      </c>
      <c r="L40" s="5">
        <f>COUNTIF(INDEX('Resultados Auxiliar'!$B$3:$AO$42,,ROW()-2),"&lt;0")</f>
        <v>0</v>
      </c>
      <c r="M40" s="5">
        <f>COUNTIF(INDEX('Resultados Auxiliar'!$B$3:$AO$42,,ROW()-2),"=0")</f>
        <v>0</v>
      </c>
      <c r="N40" s="17">
        <f>COUNTIF(INDEX('Resultados Auxiliar'!$B$3:$AO$42,,ROW()-2),"&gt;0")</f>
        <v>0</v>
      </c>
      <c r="O40" s="5">
        <f t="array" ref="O40">SUM(IF(ISNUMBER(--RIGHT(rngVisitante,(LEN(rngVisitante)-FIND("-",rngVisitante)))),--RIGHT(rngVisitante,(LEN(rngVisitante)-FIND("-",rngVisitante)))))</f>
        <v>0</v>
      </c>
      <c r="P40" s="5">
        <f t="array" ref="P40">SUM(IF(ISNUMBER(--LEFT(rngVisitante,FIND("-",rngVisitante)-1)),--LEFT(rngVisitante,FIND("-",rngVisitante)-1)))</f>
        <v>0</v>
      </c>
      <c r="Q40" s="5">
        <f t="shared" si="28"/>
        <v>0</v>
      </c>
      <c r="R40" s="5">
        <f t="shared" si="25"/>
        <v>0</v>
      </c>
      <c r="S40" s="6">
        <f t="shared" si="29"/>
        <v>0</v>
      </c>
      <c r="T40" s="6">
        <f t="shared" si="30"/>
        <v>0</v>
      </c>
      <c r="U40" s="6">
        <f t="shared" si="31"/>
        <v>0</v>
      </c>
      <c r="V40" s="6">
        <f t="shared" si="32"/>
        <v>0</v>
      </c>
      <c r="W40" s="6">
        <f t="shared" si="33"/>
        <v>0</v>
      </c>
      <c r="X40" s="6">
        <f t="shared" si="34"/>
        <v>0</v>
      </c>
      <c r="Y40" s="6">
        <f t="shared" si="35"/>
        <v>0</v>
      </c>
      <c r="Z40" s="6">
        <f t="shared" si="36"/>
        <v>0</v>
      </c>
      <c r="AA40" s="33">
        <f t="shared" si="37"/>
        <v>-2000040</v>
      </c>
    </row>
    <row r="41" spans="1:27" x14ac:dyDescent="0.2">
      <c r="A41" s="1">
        <f t="shared" si="10"/>
        <v>39</v>
      </c>
      <c r="B41" s="3" t="str">
        <f>Parametros!D40</f>
        <v>Equipo 39</v>
      </c>
      <c r="C41" s="4">
        <f>COUNTA(Resultados!C41:AP41)</f>
        <v>0</v>
      </c>
      <c r="D41" s="4">
        <f>COUNTIF('Resultados Auxiliar'!B41:AP41,"&gt;0")</f>
        <v>0</v>
      </c>
      <c r="E41" s="4">
        <f>COUNTIF('Resultados Auxiliar'!B41:AP41,"=0")</f>
        <v>0</v>
      </c>
      <c r="F41" s="4">
        <f>COUNTIF('Resultados Auxiliar'!B41:AP41,"&lt;0")</f>
        <v>0</v>
      </c>
      <c r="G41" s="4">
        <f t="array" ref="G41">SUM(IF(ISNUMBER(--LEFT(Resultados!C41:AP41,FIND("-",Resultados!C41:AP41)-1)),--LEFT(Resultados!C41:AP41,FIND("-",Resultados!C41:AP41)-1)))</f>
        <v>0</v>
      </c>
      <c r="H41" s="4">
        <f t="array" ref="H41">SUM(IF(ISNUMBER(--RIGHT(Resultados!C41:AP41,(LEN(Resultados!C41:AP41)-FIND("-",Resultados!C41:AP41)))),--RIGHT(Resultados!C41:AP41,(LEN(Resultados!C41:AP41)-FIND("-",Resultados!C41:AP41)))))</f>
        <v>0</v>
      </c>
      <c r="I41" s="4">
        <f t="shared" si="27"/>
        <v>0</v>
      </c>
      <c r="J41" s="4">
        <f t="shared" si="24"/>
        <v>0</v>
      </c>
      <c r="K41" s="5">
        <f>COUNTA(INDEX(Resultados!$A$3:$AP$42,,ROW()))</f>
        <v>0</v>
      </c>
      <c r="L41" s="5">
        <f>COUNTIF(INDEX('Resultados Auxiliar'!$B$3:$AO$42,,ROW()-2),"&lt;0")</f>
        <v>0</v>
      </c>
      <c r="M41" s="5">
        <f>COUNTIF(INDEX('Resultados Auxiliar'!$B$3:$AO$42,,ROW()-2),"=0")</f>
        <v>0</v>
      </c>
      <c r="N41" s="17">
        <f>COUNTIF(INDEX('Resultados Auxiliar'!$B$3:$AO$42,,ROW()-2),"&gt;0")</f>
        <v>0</v>
      </c>
      <c r="O41" s="5">
        <f t="array" ref="O41">SUM(IF(ISNUMBER(--RIGHT(rngVisitante,(LEN(rngVisitante)-FIND("-",rngVisitante)))),--RIGHT(rngVisitante,(LEN(rngVisitante)-FIND("-",rngVisitante)))))</f>
        <v>0</v>
      </c>
      <c r="P41" s="5">
        <f t="array" ref="P41">SUM(IF(ISNUMBER(--LEFT(rngVisitante,FIND("-",rngVisitante)-1)),--LEFT(rngVisitante,FIND("-",rngVisitante)-1)))</f>
        <v>0</v>
      </c>
      <c r="Q41" s="5">
        <f t="shared" si="28"/>
        <v>0</v>
      </c>
      <c r="R41" s="5">
        <f t="shared" si="25"/>
        <v>0</v>
      </c>
      <c r="S41" s="6">
        <f t="shared" si="29"/>
        <v>0</v>
      </c>
      <c r="T41" s="6">
        <f t="shared" si="30"/>
        <v>0</v>
      </c>
      <c r="U41" s="6">
        <f t="shared" si="31"/>
        <v>0</v>
      </c>
      <c r="V41" s="6">
        <f t="shared" si="32"/>
        <v>0</v>
      </c>
      <c r="W41" s="6">
        <f t="shared" si="33"/>
        <v>0</v>
      </c>
      <c r="X41" s="6">
        <f t="shared" si="34"/>
        <v>0</v>
      </c>
      <c r="Y41" s="6">
        <f t="shared" si="35"/>
        <v>0</v>
      </c>
      <c r="Z41" s="6">
        <f t="shared" si="36"/>
        <v>0</v>
      </c>
      <c r="AA41" s="33">
        <f t="shared" si="37"/>
        <v>-2000041</v>
      </c>
    </row>
    <row r="42" spans="1:27" x14ac:dyDescent="0.2">
      <c r="A42" s="1">
        <f t="shared" si="10"/>
        <v>40</v>
      </c>
      <c r="B42" s="3" t="str">
        <f>Parametros!D41</f>
        <v>Equipo 40</v>
      </c>
      <c r="C42" s="4">
        <f>COUNTA(Resultados!C42:AP42)</f>
        <v>0</v>
      </c>
      <c r="D42" s="4">
        <f>COUNTIF('Resultados Auxiliar'!B42:AP42,"&gt;0")</f>
        <v>0</v>
      </c>
      <c r="E42" s="4">
        <f>COUNTIF('Resultados Auxiliar'!B42:AP42,"=0")</f>
        <v>0</v>
      </c>
      <c r="F42" s="4">
        <f>COUNTIF('Resultados Auxiliar'!B42:AP42,"&lt;0")</f>
        <v>0</v>
      </c>
      <c r="G42" s="4">
        <f t="array" ref="G42">SUM(IF(ISNUMBER(--LEFT(Resultados!C42:AP42,FIND("-",Resultados!C42:AP42)-1)),--LEFT(Resultados!C42:AP42,FIND("-",Resultados!C42:AP42)-1)))</f>
        <v>0</v>
      </c>
      <c r="H42" s="4">
        <f t="array" ref="H42">SUM(IF(ISNUMBER(--RIGHT(Resultados!C42:AP42,(LEN(Resultados!C42:AP42)-FIND("-",Resultados!C42:AP42)))),--RIGHT(Resultados!C42:AP42,(LEN(Resultados!C42:AP42)-FIND("-",Resultados!C42:AP42)))))</f>
        <v>0</v>
      </c>
      <c r="I42" s="4">
        <f>G42-H42</f>
        <v>0</v>
      </c>
      <c r="J42" s="4">
        <f t="shared" si="24"/>
        <v>0</v>
      </c>
      <c r="K42" s="5">
        <f>COUNTA(INDEX(Resultados!$A$3:$AP$42,,ROW()))</f>
        <v>0</v>
      </c>
      <c r="L42" s="5">
        <f>COUNTIF(INDEX('Resultados Auxiliar'!$B$3:$AO$42,,ROW()-2),"&lt;0")</f>
        <v>0</v>
      </c>
      <c r="M42" s="5">
        <f>COUNTIF(INDEX('Resultados Auxiliar'!$B$3:$AO$42,,ROW()-2),"=0")</f>
        <v>0</v>
      </c>
      <c r="N42" s="17">
        <f>COUNTIF(INDEX('Resultados Auxiliar'!$B$3:$AO$42,,ROW()-2),"&gt;0")</f>
        <v>0</v>
      </c>
      <c r="O42" s="5">
        <f t="array" ref="O42">SUM(IF(ISNUMBER(--RIGHT(rngVisitante,(LEN(rngVisitante)-FIND("-",rngVisitante)))),--RIGHT(rngVisitante,(LEN(rngVisitante)-FIND("-",rngVisitante)))))</f>
        <v>0</v>
      </c>
      <c r="P42" s="5">
        <f t="array" ref="P42">SUM(IF(ISNUMBER(--LEFT(rngVisitante,FIND("-",rngVisitante)-1)),--LEFT(rngVisitante,FIND("-",rngVisitante)-1)))</f>
        <v>0</v>
      </c>
      <c r="Q42" s="5">
        <f>O42-P42</f>
        <v>0</v>
      </c>
      <c r="R42" s="5">
        <f t="shared" si="25"/>
        <v>0</v>
      </c>
      <c r="S42" s="6">
        <f t="shared" ref="S42:Z42" si="38">C42+K42</f>
        <v>0</v>
      </c>
      <c r="T42" s="6">
        <f t="shared" si="38"/>
        <v>0</v>
      </c>
      <c r="U42" s="6">
        <f t="shared" si="38"/>
        <v>0</v>
      </c>
      <c r="V42" s="6">
        <f t="shared" si="38"/>
        <v>0</v>
      </c>
      <c r="W42" s="6">
        <f t="shared" si="38"/>
        <v>0</v>
      </c>
      <c r="X42" s="6">
        <f t="shared" si="38"/>
        <v>0</v>
      </c>
      <c r="Y42" s="6">
        <f t="shared" si="38"/>
        <v>0</v>
      </c>
      <c r="Z42" s="6">
        <f t="shared" si="38"/>
        <v>0</v>
      </c>
      <c r="AA42" s="33">
        <f t="shared" si="37"/>
        <v>-2000042</v>
      </c>
    </row>
  </sheetData>
  <mergeCells count="3">
    <mergeCell ref="C1:J1"/>
    <mergeCell ref="K1:R1"/>
    <mergeCell ref="S1:Z1"/>
  </mergeCells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AO42"/>
  <sheetViews>
    <sheetView workbookViewId="0">
      <selection activeCell="J15" sqref="J15"/>
    </sheetView>
  </sheetViews>
  <sheetFormatPr defaultColWidth="9.140625" defaultRowHeight="12.75" x14ac:dyDescent="0.2"/>
  <sheetData>
    <row r="2" spans="2:41" x14ac:dyDescent="0.2">
      <c r="B2" s="139" t="s">
        <v>16</v>
      </c>
      <c r="C2" s="139"/>
      <c r="D2" s="139"/>
      <c r="E2" s="139"/>
      <c r="F2" s="139"/>
      <c r="G2" s="139"/>
    </row>
    <row r="3" spans="2:41" x14ac:dyDescent="0.2">
      <c r="B3" s="3" t="str">
        <f t="shared" ref="B3:Q18" si="0">resultado</f>
        <v/>
      </c>
      <c r="C3" s="3" t="str">
        <f t="shared" si="0"/>
        <v/>
      </c>
      <c r="D3" s="3" t="str">
        <f t="shared" si="0"/>
        <v/>
      </c>
      <c r="E3" s="3" t="str">
        <f t="shared" si="0"/>
        <v/>
      </c>
      <c r="F3" s="3" t="str">
        <f t="shared" si="0"/>
        <v/>
      </c>
      <c r="G3" s="3" t="str">
        <f t="shared" si="0"/>
        <v/>
      </c>
      <c r="H3" s="3" t="str">
        <f t="shared" si="0"/>
        <v/>
      </c>
      <c r="I3" s="3" t="str">
        <f t="shared" si="0"/>
        <v/>
      </c>
      <c r="J3" s="3" t="str">
        <f t="shared" si="0"/>
        <v/>
      </c>
      <c r="K3" s="3" t="str">
        <f t="shared" si="0"/>
        <v/>
      </c>
      <c r="L3" s="3" t="str">
        <f t="shared" si="0"/>
        <v/>
      </c>
      <c r="M3" s="3" t="str">
        <f t="shared" si="0"/>
        <v/>
      </c>
      <c r="N3" s="3" t="str">
        <f t="shared" si="0"/>
        <v/>
      </c>
      <c r="O3" s="3" t="str">
        <f t="shared" si="0"/>
        <v/>
      </c>
      <c r="P3" s="3" t="str">
        <f t="shared" si="0"/>
        <v/>
      </c>
      <c r="Q3" s="3" t="str">
        <f t="shared" si="0"/>
        <v/>
      </c>
      <c r="R3" s="3" t="str">
        <f t="shared" ref="R3:AG3" si="1">resultado</f>
        <v/>
      </c>
      <c r="S3" s="3" t="str">
        <f t="shared" si="1"/>
        <v/>
      </c>
      <c r="T3" s="3" t="str">
        <f t="shared" si="1"/>
        <v/>
      </c>
      <c r="U3" s="3" t="str">
        <f t="shared" si="1"/>
        <v/>
      </c>
      <c r="V3" s="3" t="str">
        <f t="shared" si="1"/>
        <v/>
      </c>
      <c r="W3" s="3" t="str">
        <f t="shared" si="1"/>
        <v/>
      </c>
      <c r="X3" s="3" t="str">
        <f t="shared" si="1"/>
        <v/>
      </c>
      <c r="Y3" s="3" t="str">
        <f t="shared" si="1"/>
        <v/>
      </c>
      <c r="Z3" s="3" t="str">
        <f t="shared" si="1"/>
        <v/>
      </c>
      <c r="AA3" s="3" t="str">
        <f t="shared" si="1"/>
        <v/>
      </c>
      <c r="AB3" s="3" t="str">
        <f t="shared" si="1"/>
        <v/>
      </c>
      <c r="AC3" s="3" t="str">
        <f t="shared" si="1"/>
        <v/>
      </c>
      <c r="AD3" s="3" t="str">
        <f t="shared" si="1"/>
        <v/>
      </c>
      <c r="AE3" s="3" t="str">
        <f t="shared" si="1"/>
        <v/>
      </c>
      <c r="AF3" s="3" t="str">
        <f t="shared" si="1"/>
        <v/>
      </c>
      <c r="AG3" s="3" t="str">
        <f t="shared" si="1"/>
        <v/>
      </c>
      <c r="AH3" s="3" t="str">
        <f t="shared" ref="V3:AN17" si="2">resultado</f>
        <v/>
      </c>
      <c r="AI3" s="3" t="str">
        <f t="shared" si="2"/>
        <v/>
      </c>
      <c r="AJ3" s="3" t="str">
        <f t="shared" si="2"/>
        <v/>
      </c>
      <c r="AK3" s="3" t="str">
        <f t="shared" si="2"/>
        <v/>
      </c>
      <c r="AL3" s="3" t="str">
        <f t="shared" si="2"/>
        <v/>
      </c>
      <c r="AM3" s="3" t="str">
        <f t="shared" si="2"/>
        <v/>
      </c>
      <c r="AN3" s="3" t="str">
        <f t="shared" si="2"/>
        <v/>
      </c>
      <c r="AO3" s="3" t="str">
        <f t="shared" ref="AO3:AO30" si="3">resultado</f>
        <v/>
      </c>
    </row>
    <row r="4" spans="2:41" x14ac:dyDescent="0.2">
      <c r="B4" s="3" t="str">
        <f t="shared" si="0"/>
        <v/>
      </c>
      <c r="C4" s="3" t="str">
        <f t="shared" si="0"/>
        <v/>
      </c>
      <c r="D4" s="3" t="str">
        <f t="shared" si="0"/>
        <v/>
      </c>
      <c r="E4" s="3" t="str">
        <f t="shared" si="0"/>
        <v/>
      </c>
      <c r="F4" s="3" t="str">
        <f t="shared" si="0"/>
        <v/>
      </c>
      <c r="G4" s="3" t="str">
        <f t="shared" si="0"/>
        <v/>
      </c>
      <c r="H4" s="3" t="str">
        <f t="shared" si="0"/>
        <v/>
      </c>
      <c r="I4" s="3" t="str">
        <f t="shared" si="0"/>
        <v/>
      </c>
      <c r="J4" s="3" t="str">
        <f t="shared" si="0"/>
        <v/>
      </c>
      <c r="K4" s="3" t="str">
        <f t="shared" si="0"/>
        <v/>
      </c>
      <c r="L4" s="3" t="str">
        <f t="shared" si="0"/>
        <v/>
      </c>
      <c r="M4" s="3" t="str">
        <f t="shared" si="0"/>
        <v/>
      </c>
      <c r="N4" s="3" t="str">
        <f t="shared" si="0"/>
        <v/>
      </c>
      <c r="O4" s="3" t="str">
        <f t="shared" si="0"/>
        <v/>
      </c>
      <c r="P4" s="3" t="str">
        <f t="shared" si="0"/>
        <v/>
      </c>
      <c r="Q4" s="3" t="str">
        <f t="shared" si="0"/>
        <v/>
      </c>
      <c r="R4" s="3" t="str">
        <f t="shared" ref="R4:U18" si="4">resultado</f>
        <v/>
      </c>
      <c r="S4" s="3" t="str">
        <f t="shared" si="4"/>
        <v/>
      </c>
      <c r="T4" s="3" t="str">
        <f t="shared" si="4"/>
        <v/>
      </c>
      <c r="U4" s="3" t="str">
        <f t="shared" si="4"/>
        <v/>
      </c>
      <c r="V4" s="3" t="str">
        <f t="shared" si="2"/>
        <v/>
      </c>
      <c r="W4" s="3" t="str">
        <f t="shared" si="2"/>
        <v/>
      </c>
      <c r="X4" s="3" t="str">
        <f t="shared" si="2"/>
        <v/>
      </c>
      <c r="Y4" s="3" t="str">
        <f t="shared" si="2"/>
        <v/>
      </c>
      <c r="Z4" s="3" t="str">
        <f t="shared" si="2"/>
        <v/>
      </c>
      <c r="AA4" s="3" t="str">
        <f t="shared" si="2"/>
        <v/>
      </c>
      <c r="AB4" s="3" t="str">
        <f t="shared" si="2"/>
        <v/>
      </c>
      <c r="AC4" s="3" t="str">
        <f t="shared" si="2"/>
        <v/>
      </c>
      <c r="AD4" s="3" t="str">
        <f t="shared" si="2"/>
        <v/>
      </c>
      <c r="AE4" s="3" t="str">
        <f t="shared" si="2"/>
        <v/>
      </c>
      <c r="AF4" s="3" t="str">
        <f t="shared" si="2"/>
        <v/>
      </c>
      <c r="AG4" s="3" t="str">
        <f t="shared" si="2"/>
        <v/>
      </c>
      <c r="AH4" s="3" t="str">
        <f t="shared" si="2"/>
        <v/>
      </c>
      <c r="AI4" s="3" t="str">
        <f t="shared" si="2"/>
        <v/>
      </c>
      <c r="AJ4" s="3" t="str">
        <f t="shared" si="2"/>
        <v/>
      </c>
      <c r="AK4" s="3" t="str">
        <f t="shared" si="2"/>
        <v/>
      </c>
      <c r="AL4" s="3" t="str">
        <f t="shared" si="2"/>
        <v/>
      </c>
      <c r="AM4" s="3" t="str">
        <f t="shared" si="2"/>
        <v/>
      </c>
      <c r="AN4" s="3" t="str">
        <f t="shared" si="2"/>
        <v/>
      </c>
      <c r="AO4" s="3" t="str">
        <f t="shared" si="3"/>
        <v/>
      </c>
    </row>
    <row r="5" spans="2:41" x14ac:dyDescent="0.2">
      <c r="B5" s="3" t="str">
        <f t="shared" si="0"/>
        <v/>
      </c>
      <c r="C5" s="3" t="str">
        <f t="shared" si="0"/>
        <v/>
      </c>
      <c r="D5" s="3" t="str">
        <f t="shared" si="0"/>
        <v/>
      </c>
      <c r="E5" s="3" t="str">
        <f t="shared" si="0"/>
        <v/>
      </c>
      <c r="F5" s="3" t="str">
        <f t="shared" si="0"/>
        <v/>
      </c>
      <c r="G5" s="3" t="str">
        <f t="shared" si="0"/>
        <v/>
      </c>
      <c r="H5" s="3" t="str">
        <f t="shared" si="0"/>
        <v/>
      </c>
      <c r="I5" s="3" t="str">
        <f t="shared" si="0"/>
        <v/>
      </c>
      <c r="J5" s="3" t="str">
        <f t="shared" si="0"/>
        <v/>
      </c>
      <c r="K5" s="3" t="str">
        <f t="shared" si="0"/>
        <v/>
      </c>
      <c r="L5" s="3" t="str">
        <f t="shared" si="0"/>
        <v/>
      </c>
      <c r="M5" s="3" t="str">
        <f t="shared" si="0"/>
        <v/>
      </c>
      <c r="N5" s="3" t="str">
        <f t="shared" si="0"/>
        <v/>
      </c>
      <c r="O5" s="3" t="str">
        <f t="shared" si="0"/>
        <v/>
      </c>
      <c r="P5" s="3" t="str">
        <f t="shared" si="0"/>
        <v/>
      </c>
      <c r="Q5" s="3" t="str">
        <f t="shared" si="0"/>
        <v/>
      </c>
      <c r="R5" s="3" t="str">
        <f t="shared" si="4"/>
        <v/>
      </c>
      <c r="S5" s="3" t="str">
        <f t="shared" si="4"/>
        <v/>
      </c>
      <c r="T5" s="3" t="str">
        <f t="shared" si="4"/>
        <v/>
      </c>
      <c r="U5" s="3" t="str">
        <f t="shared" si="4"/>
        <v/>
      </c>
      <c r="V5" s="3" t="str">
        <f t="shared" si="2"/>
        <v/>
      </c>
      <c r="W5" s="3" t="str">
        <f t="shared" si="2"/>
        <v/>
      </c>
      <c r="X5" s="3" t="str">
        <f t="shared" si="2"/>
        <v/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3" t="str">
        <f t="shared" si="2"/>
        <v/>
      </c>
      <c r="AC5" s="3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3" t="str">
        <f t="shared" si="2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3"/>
        <v/>
      </c>
    </row>
    <row r="6" spans="2:41" x14ac:dyDescent="0.2">
      <c r="B6" s="3" t="str">
        <f t="shared" si="0"/>
        <v/>
      </c>
      <c r="C6" s="3" t="str">
        <f t="shared" si="0"/>
        <v/>
      </c>
      <c r="D6" s="3" t="str">
        <f t="shared" si="0"/>
        <v/>
      </c>
      <c r="E6" s="3" t="str">
        <f t="shared" si="0"/>
        <v/>
      </c>
      <c r="F6" s="3" t="str">
        <f t="shared" si="0"/>
        <v/>
      </c>
      <c r="G6" s="3" t="str">
        <f t="shared" si="0"/>
        <v/>
      </c>
      <c r="H6" s="3" t="str">
        <f t="shared" si="0"/>
        <v/>
      </c>
      <c r="I6" s="3" t="str">
        <f t="shared" si="0"/>
        <v/>
      </c>
      <c r="J6" s="3" t="str">
        <f t="shared" si="0"/>
        <v/>
      </c>
      <c r="K6" s="3" t="str">
        <f t="shared" si="0"/>
        <v/>
      </c>
      <c r="L6" s="3" t="str">
        <f t="shared" si="0"/>
        <v/>
      </c>
      <c r="M6" s="3" t="str">
        <f t="shared" si="0"/>
        <v/>
      </c>
      <c r="N6" s="3" t="str">
        <f t="shared" si="0"/>
        <v/>
      </c>
      <c r="O6" s="3" t="str">
        <f t="shared" si="0"/>
        <v/>
      </c>
      <c r="P6" s="3" t="str">
        <f t="shared" si="0"/>
        <v/>
      </c>
      <c r="Q6" s="3" t="str">
        <f t="shared" si="0"/>
        <v/>
      </c>
      <c r="R6" s="3" t="str">
        <f t="shared" si="4"/>
        <v/>
      </c>
      <c r="S6" s="3" t="str">
        <f t="shared" si="4"/>
        <v/>
      </c>
      <c r="T6" s="3" t="str">
        <f t="shared" si="4"/>
        <v/>
      </c>
      <c r="U6" s="3" t="str">
        <f t="shared" si="4"/>
        <v/>
      </c>
      <c r="V6" s="3" t="str">
        <f t="shared" si="2"/>
        <v/>
      </c>
      <c r="W6" s="3" t="str">
        <f t="shared" si="2"/>
        <v/>
      </c>
      <c r="X6" s="3" t="str">
        <f t="shared" si="2"/>
        <v/>
      </c>
      <c r="Y6" s="3" t="str">
        <f t="shared" si="2"/>
        <v/>
      </c>
      <c r="Z6" s="3" t="str">
        <f t="shared" si="2"/>
        <v/>
      </c>
      <c r="AA6" s="3" t="str">
        <f t="shared" si="2"/>
        <v/>
      </c>
      <c r="AB6" s="3" t="str">
        <f t="shared" si="2"/>
        <v/>
      </c>
      <c r="AC6" s="3" t="str">
        <f t="shared" si="2"/>
        <v/>
      </c>
      <c r="AD6" s="3" t="str">
        <f t="shared" si="2"/>
        <v/>
      </c>
      <c r="AE6" s="3" t="str">
        <f t="shared" si="2"/>
        <v/>
      </c>
      <c r="AF6" s="3" t="str">
        <f t="shared" si="2"/>
        <v/>
      </c>
      <c r="AG6" s="3" t="str">
        <f t="shared" si="2"/>
        <v/>
      </c>
      <c r="AH6" s="3" t="str">
        <f t="shared" si="2"/>
        <v/>
      </c>
      <c r="AI6" s="3" t="str">
        <f t="shared" si="2"/>
        <v/>
      </c>
      <c r="AJ6" s="3" t="str">
        <f t="shared" si="2"/>
        <v/>
      </c>
      <c r="AK6" s="3" t="str">
        <f t="shared" si="2"/>
        <v/>
      </c>
      <c r="AL6" s="3" t="str">
        <f t="shared" si="2"/>
        <v/>
      </c>
      <c r="AM6" s="3" t="str">
        <f t="shared" si="2"/>
        <v/>
      </c>
      <c r="AN6" s="3" t="str">
        <f t="shared" si="2"/>
        <v/>
      </c>
      <c r="AO6" s="3" t="str">
        <f t="shared" si="3"/>
        <v/>
      </c>
    </row>
    <row r="7" spans="2:41" x14ac:dyDescent="0.2">
      <c r="B7" s="3" t="str">
        <f t="shared" si="0"/>
        <v/>
      </c>
      <c r="C7" s="3" t="str">
        <f t="shared" si="0"/>
        <v/>
      </c>
      <c r="D7" s="3" t="str">
        <f t="shared" si="0"/>
        <v/>
      </c>
      <c r="E7" s="3" t="str">
        <f t="shared" si="0"/>
        <v/>
      </c>
      <c r="F7" s="3" t="str">
        <f t="shared" si="0"/>
        <v/>
      </c>
      <c r="G7" s="3" t="str">
        <f t="shared" si="0"/>
        <v/>
      </c>
      <c r="H7" s="3" t="str">
        <f t="shared" si="0"/>
        <v/>
      </c>
      <c r="I7" s="3" t="str">
        <f t="shared" si="0"/>
        <v/>
      </c>
      <c r="J7" s="3" t="str">
        <f t="shared" si="0"/>
        <v/>
      </c>
      <c r="K7" s="3" t="str">
        <f t="shared" si="0"/>
        <v/>
      </c>
      <c r="L7" s="3" t="str">
        <f t="shared" si="0"/>
        <v/>
      </c>
      <c r="M7" s="3" t="str">
        <f t="shared" si="0"/>
        <v/>
      </c>
      <c r="N7" s="3" t="str">
        <f t="shared" si="0"/>
        <v/>
      </c>
      <c r="O7" s="3" t="str">
        <f t="shared" si="0"/>
        <v/>
      </c>
      <c r="P7" s="3" t="str">
        <f t="shared" si="0"/>
        <v/>
      </c>
      <c r="Q7" s="3" t="str">
        <f t="shared" si="0"/>
        <v/>
      </c>
      <c r="R7" s="3" t="str">
        <f t="shared" si="4"/>
        <v/>
      </c>
      <c r="S7" s="3" t="str">
        <f t="shared" si="4"/>
        <v/>
      </c>
      <c r="T7" s="3" t="str">
        <f t="shared" si="4"/>
        <v/>
      </c>
      <c r="U7" s="3" t="str">
        <f t="shared" si="4"/>
        <v/>
      </c>
      <c r="V7" s="3" t="str">
        <f t="shared" si="2"/>
        <v/>
      </c>
      <c r="W7" s="3" t="str">
        <f t="shared" si="2"/>
        <v/>
      </c>
      <c r="X7" s="3" t="str">
        <f t="shared" si="2"/>
        <v/>
      </c>
      <c r="Y7" s="3" t="str">
        <f t="shared" si="2"/>
        <v/>
      </c>
      <c r="Z7" s="3" t="str">
        <f t="shared" si="2"/>
        <v/>
      </c>
      <c r="AA7" s="3" t="str">
        <f t="shared" si="2"/>
        <v/>
      </c>
      <c r="AB7" s="3" t="str">
        <f t="shared" si="2"/>
        <v/>
      </c>
      <c r="AC7" s="3" t="str">
        <f t="shared" si="2"/>
        <v/>
      </c>
      <c r="AD7" s="3" t="str">
        <f t="shared" si="2"/>
        <v/>
      </c>
      <c r="AE7" s="3" t="str">
        <f t="shared" si="2"/>
        <v/>
      </c>
      <c r="AF7" s="3" t="str">
        <f t="shared" si="2"/>
        <v/>
      </c>
      <c r="AG7" s="3" t="str">
        <f t="shared" si="2"/>
        <v/>
      </c>
      <c r="AH7" s="3" t="str">
        <f t="shared" si="2"/>
        <v/>
      </c>
      <c r="AI7" s="3" t="str">
        <f t="shared" si="2"/>
        <v/>
      </c>
      <c r="AJ7" s="3" t="str">
        <f t="shared" si="2"/>
        <v/>
      </c>
      <c r="AK7" s="3" t="str">
        <f t="shared" si="2"/>
        <v/>
      </c>
      <c r="AL7" s="3" t="str">
        <f t="shared" si="2"/>
        <v/>
      </c>
      <c r="AM7" s="3" t="str">
        <f t="shared" si="2"/>
        <v/>
      </c>
      <c r="AN7" s="3" t="str">
        <f t="shared" si="2"/>
        <v/>
      </c>
      <c r="AO7" s="3" t="str">
        <f t="shared" si="3"/>
        <v/>
      </c>
    </row>
    <row r="8" spans="2:41" x14ac:dyDescent="0.2">
      <c r="B8" s="3" t="str">
        <f t="shared" si="0"/>
        <v/>
      </c>
      <c r="C8" s="3" t="str">
        <f t="shared" si="0"/>
        <v/>
      </c>
      <c r="D8" s="3" t="str">
        <f t="shared" si="0"/>
        <v/>
      </c>
      <c r="E8" s="3" t="str">
        <f t="shared" si="0"/>
        <v/>
      </c>
      <c r="F8" s="3" t="str">
        <f t="shared" si="0"/>
        <v/>
      </c>
      <c r="G8" s="3" t="str">
        <f t="shared" si="0"/>
        <v/>
      </c>
      <c r="H8" s="3" t="str">
        <f t="shared" si="0"/>
        <v/>
      </c>
      <c r="I8" s="3" t="str">
        <f t="shared" si="0"/>
        <v/>
      </c>
      <c r="J8" s="3" t="str">
        <f t="shared" si="0"/>
        <v/>
      </c>
      <c r="K8" s="3" t="str">
        <f t="shared" si="0"/>
        <v/>
      </c>
      <c r="L8" s="3" t="str">
        <f t="shared" si="0"/>
        <v/>
      </c>
      <c r="M8" s="3" t="str">
        <f t="shared" si="0"/>
        <v/>
      </c>
      <c r="N8" s="3" t="str">
        <f t="shared" si="0"/>
        <v/>
      </c>
      <c r="O8" s="3" t="str">
        <f t="shared" si="0"/>
        <v/>
      </c>
      <c r="P8" s="3" t="str">
        <f t="shared" si="0"/>
        <v/>
      </c>
      <c r="Q8" s="3" t="str">
        <f t="shared" si="0"/>
        <v/>
      </c>
      <c r="R8" s="3" t="str">
        <f t="shared" si="4"/>
        <v/>
      </c>
      <c r="S8" s="3" t="str">
        <f t="shared" si="4"/>
        <v/>
      </c>
      <c r="T8" s="3" t="str">
        <f t="shared" si="4"/>
        <v/>
      </c>
      <c r="U8" s="3" t="str">
        <f t="shared" si="4"/>
        <v/>
      </c>
      <c r="V8" s="3" t="str">
        <f t="shared" si="2"/>
        <v/>
      </c>
      <c r="W8" s="3" t="str">
        <f t="shared" si="2"/>
        <v/>
      </c>
      <c r="X8" s="3" t="str">
        <f t="shared" si="2"/>
        <v/>
      </c>
      <c r="Y8" s="3" t="str">
        <f t="shared" si="2"/>
        <v/>
      </c>
      <c r="Z8" s="3" t="str">
        <f t="shared" si="2"/>
        <v/>
      </c>
      <c r="AA8" s="3" t="str">
        <f t="shared" si="2"/>
        <v/>
      </c>
      <c r="AB8" s="3" t="str">
        <f t="shared" si="2"/>
        <v/>
      </c>
      <c r="AC8" s="3" t="str">
        <f t="shared" si="2"/>
        <v/>
      </c>
      <c r="AD8" s="3" t="str">
        <f t="shared" si="2"/>
        <v/>
      </c>
      <c r="AE8" s="3" t="str">
        <f t="shared" si="2"/>
        <v/>
      </c>
      <c r="AF8" s="3" t="str">
        <f t="shared" si="2"/>
        <v/>
      </c>
      <c r="AG8" s="3" t="str">
        <f t="shared" si="2"/>
        <v/>
      </c>
      <c r="AH8" s="3" t="str">
        <f t="shared" si="2"/>
        <v/>
      </c>
      <c r="AI8" s="3" t="str">
        <f t="shared" si="2"/>
        <v/>
      </c>
      <c r="AJ8" s="3" t="str">
        <f t="shared" si="2"/>
        <v/>
      </c>
      <c r="AK8" s="3" t="str">
        <f t="shared" si="2"/>
        <v/>
      </c>
      <c r="AL8" s="3" t="str">
        <f t="shared" si="2"/>
        <v/>
      </c>
      <c r="AM8" s="3" t="str">
        <f t="shared" si="2"/>
        <v/>
      </c>
      <c r="AN8" s="3" t="str">
        <f t="shared" si="2"/>
        <v/>
      </c>
      <c r="AO8" s="3" t="str">
        <f t="shared" si="3"/>
        <v/>
      </c>
    </row>
    <row r="9" spans="2:41" x14ac:dyDescent="0.2">
      <c r="B9" s="3" t="str">
        <f t="shared" si="0"/>
        <v/>
      </c>
      <c r="C9" s="3" t="str">
        <f t="shared" si="0"/>
        <v/>
      </c>
      <c r="D9" s="3" t="str">
        <f t="shared" si="0"/>
        <v/>
      </c>
      <c r="E9" s="3" t="str">
        <f t="shared" si="0"/>
        <v/>
      </c>
      <c r="F9" s="3" t="str">
        <f t="shared" si="0"/>
        <v/>
      </c>
      <c r="G9" s="3" t="str">
        <f t="shared" si="0"/>
        <v/>
      </c>
      <c r="H9" s="3" t="str">
        <f t="shared" si="0"/>
        <v/>
      </c>
      <c r="I9" s="3" t="str">
        <f t="shared" si="0"/>
        <v/>
      </c>
      <c r="J9" s="3" t="str">
        <f t="shared" si="0"/>
        <v/>
      </c>
      <c r="K9" s="3" t="str">
        <f t="shared" si="0"/>
        <v/>
      </c>
      <c r="L9" s="3" t="str">
        <f t="shared" si="0"/>
        <v/>
      </c>
      <c r="M9" s="3" t="str">
        <f t="shared" si="0"/>
        <v/>
      </c>
      <c r="N9" s="3" t="str">
        <f t="shared" si="0"/>
        <v/>
      </c>
      <c r="O9" s="3" t="str">
        <f t="shared" si="0"/>
        <v/>
      </c>
      <c r="P9" s="3" t="str">
        <f t="shared" si="0"/>
        <v/>
      </c>
      <c r="Q9" s="3" t="str">
        <f t="shared" si="0"/>
        <v/>
      </c>
      <c r="R9" s="3" t="str">
        <f t="shared" si="4"/>
        <v/>
      </c>
      <c r="S9" s="3" t="str">
        <f t="shared" si="4"/>
        <v/>
      </c>
      <c r="T9" s="3" t="str">
        <f t="shared" si="4"/>
        <v/>
      </c>
      <c r="U9" s="3" t="str">
        <f t="shared" si="4"/>
        <v/>
      </c>
      <c r="V9" s="3" t="str">
        <f t="shared" si="2"/>
        <v/>
      </c>
      <c r="W9" s="3" t="str">
        <f t="shared" si="2"/>
        <v/>
      </c>
      <c r="X9" s="3" t="str">
        <f t="shared" si="2"/>
        <v/>
      </c>
      <c r="Y9" s="3" t="str">
        <f t="shared" si="2"/>
        <v/>
      </c>
      <c r="Z9" s="3" t="str">
        <f t="shared" si="2"/>
        <v/>
      </c>
      <c r="AA9" s="3" t="str">
        <f t="shared" si="2"/>
        <v/>
      </c>
      <c r="AB9" s="3" t="str">
        <f t="shared" si="2"/>
        <v/>
      </c>
      <c r="AC9" s="3" t="str">
        <f t="shared" si="2"/>
        <v/>
      </c>
      <c r="AD9" s="3" t="str">
        <f t="shared" si="2"/>
        <v/>
      </c>
      <c r="AE9" s="3" t="str">
        <f t="shared" si="2"/>
        <v/>
      </c>
      <c r="AF9" s="3" t="str">
        <f t="shared" si="2"/>
        <v/>
      </c>
      <c r="AG9" s="3" t="str">
        <f t="shared" si="2"/>
        <v/>
      </c>
      <c r="AH9" s="3" t="str">
        <f t="shared" si="2"/>
        <v/>
      </c>
      <c r="AI9" s="3" t="str">
        <f t="shared" si="2"/>
        <v/>
      </c>
      <c r="AJ9" s="3" t="str">
        <f t="shared" si="2"/>
        <v/>
      </c>
      <c r="AK9" s="3" t="str">
        <f t="shared" si="2"/>
        <v/>
      </c>
      <c r="AL9" s="3" t="str">
        <f t="shared" si="2"/>
        <v/>
      </c>
      <c r="AM9" s="3" t="str">
        <f t="shared" si="2"/>
        <v/>
      </c>
      <c r="AN9" s="3" t="str">
        <f t="shared" si="2"/>
        <v/>
      </c>
      <c r="AO9" s="3" t="str">
        <f t="shared" si="3"/>
        <v/>
      </c>
    </row>
    <row r="10" spans="2:41" x14ac:dyDescent="0.2">
      <c r="B10" s="3" t="str">
        <f t="shared" si="0"/>
        <v/>
      </c>
      <c r="C10" s="3" t="str">
        <f t="shared" si="0"/>
        <v/>
      </c>
      <c r="D10" s="3" t="str">
        <f t="shared" si="0"/>
        <v/>
      </c>
      <c r="E10" s="3" t="str">
        <f t="shared" si="0"/>
        <v/>
      </c>
      <c r="F10" s="3" t="str">
        <f t="shared" si="0"/>
        <v/>
      </c>
      <c r="G10" s="3" t="str">
        <f t="shared" si="0"/>
        <v/>
      </c>
      <c r="H10" s="3" t="str">
        <f t="shared" si="0"/>
        <v/>
      </c>
      <c r="I10" s="3" t="str">
        <f t="shared" si="0"/>
        <v/>
      </c>
      <c r="J10" s="3" t="str">
        <f t="shared" si="0"/>
        <v/>
      </c>
      <c r="K10" s="3" t="str">
        <f t="shared" si="0"/>
        <v/>
      </c>
      <c r="L10" s="3" t="str">
        <f t="shared" si="0"/>
        <v/>
      </c>
      <c r="M10" s="3" t="str">
        <f t="shared" si="0"/>
        <v/>
      </c>
      <c r="N10" s="3" t="str">
        <f t="shared" si="0"/>
        <v/>
      </c>
      <c r="O10" s="3" t="str">
        <f t="shared" si="0"/>
        <v/>
      </c>
      <c r="P10" s="3" t="str">
        <f t="shared" si="0"/>
        <v/>
      </c>
      <c r="Q10" s="3" t="str">
        <f t="shared" si="0"/>
        <v/>
      </c>
      <c r="R10" s="3" t="str">
        <f t="shared" si="4"/>
        <v/>
      </c>
      <c r="S10" s="3" t="str">
        <f t="shared" si="4"/>
        <v/>
      </c>
      <c r="T10" s="3" t="str">
        <f t="shared" si="4"/>
        <v/>
      </c>
      <c r="U10" s="3" t="str">
        <f t="shared" si="4"/>
        <v/>
      </c>
      <c r="V10" s="3" t="str">
        <f t="shared" si="2"/>
        <v/>
      </c>
      <c r="W10" s="3" t="str">
        <f t="shared" si="2"/>
        <v/>
      </c>
      <c r="X10" s="3" t="str">
        <f t="shared" si="2"/>
        <v/>
      </c>
      <c r="Y10" s="3" t="str">
        <f t="shared" si="2"/>
        <v/>
      </c>
      <c r="Z10" s="3" t="str">
        <f t="shared" si="2"/>
        <v/>
      </c>
      <c r="AA10" s="3" t="str">
        <f t="shared" si="2"/>
        <v/>
      </c>
      <c r="AB10" s="3" t="str">
        <f t="shared" si="2"/>
        <v/>
      </c>
      <c r="AC10" s="3" t="str">
        <f t="shared" si="2"/>
        <v/>
      </c>
      <c r="AD10" s="3" t="str">
        <f t="shared" si="2"/>
        <v/>
      </c>
      <c r="AE10" s="3" t="str">
        <f t="shared" si="2"/>
        <v/>
      </c>
      <c r="AF10" s="3" t="str">
        <f t="shared" si="2"/>
        <v/>
      </c>
      <c r="AG10" s="3" t="str">
        <f t="shared" si="2"/>
        <v/>
      </c>
      <c r="AH10" s="3" t="str">
        <f t="shared" si="2"/>
        <v/>
      </c>
      <c r="AI10" s="3" t="str">
        <f t="shared" si="2"/>
        <v/>
      </c>
      <c r="AJ10" s="3" t="str">
        <f t="shared" si="2"/>
        <v/>
      </c>
      <c r="AK10" s="3" t="str">
        <f t="shared" si="2"/>
        <v/>
      </c>
      <c r="AL10" s="3" t="str">
        <f t="shared" si="2"/>
        <v/>
      </c>
      <c r="AM10" s="3" t="str">
        <f t="shared" si="2"/>
        <v/>
      </c>
      <c r="AN10" s="3" t="str">
        <f t="shared" si="2"/>
        <v/>
      </c>
      <c r="AO10" s="3" t="str">
        <f t="shared" si="3"/>
        <v/>
      </c>
    </row>
    <row r="11" spans="2:41" x14ac:dyDescent="0.2">
      <c r="B11" s="3" t="str">
        <f t="shared" si="0"/>
        <v/>
      </c>
      <c r="C11" s="3" t="str">
        <f t="shared" si="0"/>
        <v/>
      </c>
      <c r="D11" s="3" t="str">
        <f t="shared" si="0"/>
        <v/>
      </c>
      <c r="E11" s="3" t="str">
        <f t="shared" si="0"/>
        <v/>
      </c>
      <c r="F11" s="3" t="str">
        <f t="shared" si="0"/>
        <v/>
      </c>
      <c r="G11" s="3" t="str">
        <f t="shared" si="0"/>
        <v/>
      </c>
      <c r="H11" s="3" t="str">
        <f t="shared" si="0"/>
        <v/>
      </c>
      <c r="I11" s="3" t="str">
        <f t="shared" si="0"/>
        <v/>
      </c>
      <c r="J11" s="3" t="str">
        <f t="shared" si="0"/>
        <v/>
      </c>
      <c r="K11" s="3" t="str">
        <f t="shared" si="0"/>
        <v/>
      </c>
      <c r="L11" s="3" t="str">
        <f t="shared" si="0"/>
        <v/>
      </c>
      <c r="M11" s="3" t="str">
        <f t="shared" si="0"/>
        <v/>
      </c>
      <c r="N11" s="3" t="str">
        <f t="shared" si="0"/>
        <v/>
      </c>
      <c r="O11" s="3" t="str">
        <f t="shared" si="0"/>
        <v/>
      </c>
      <c r="P11" s="3" t="str">
        <f t="shared" si="0"/>
        <v/>
      </c>
      <c r="Q11" s="3" t="str">
        <f t="shared" si="0"/>
        <v/>
      </c>
      <c r="R11" s="3" t="str">
        <f t="shared" si="4"/>
        <v/>
      </c>
      <c r="S11" s="3" t="str">
        <f t="shared" si="4"/>
        <v/>
      </c>
      <c r="T11" s="3" t="str">
        <f t="shared" si="4"/>
        <v/>
      </c>
      <c r="U11" s="3" t="str">
        <f t="shared" si="4"/>
        <v/>
      </c>
      <c r="V11" s="3" t="str">
        <f t="shared" si="2"/>
        <v/>
      </c>
      <c r="W11" s="3" t="str">
        <f t="shared" si="2"/>
        <v/>
      </c>
      <c r="X11" s="3" t="str">
        <f t="shared" si="2"/>
        <v/>
      </c>
      <c r="Y11" s="3" t="str">
        <f t="shared" si="2"/>
        <v/>
      </c>
      <c r="Z11" s="3" t="str">
        <f t="shared" si="2"/>
        <v/>
      </c>
      <c r="AA11" s="3" t="str">
        <f t="shared" si="2"/>
        <v/>
      </c>
      <c r="AB11" s="3" t="str">
        <f t="shared" si="2"/>
        <v/>
      </c>
      <c r="AC11" s="3" t="str">
        <f t="shared" si="2"/>
        <v/>
      </c>
      <c r="AD11" s="3" t="str">
        <f t="shared" si="2"/>
        <v/>
      </c>
      <c r="AE11" s="3" t="str">
        <f t="shared" si="2"/>
        <v/>
      </c>
      <c r="AF11" s="3" t="str">
        <f t="shared" si="2"/>
        <v/>
      </c>
      <c r="AG11" s="3" t="str">
        <f t="shared" si="2"/>
        <v/>
      </c>
      <c r="AH11" s="3" t="str">
        <f t="shared" si="2"/>
        <v/>
      </c>
      <c r="AI11" s="3" t="str">
        <f t="shared" si="2"/>
        <v/>
      </c>
      <c r="AJ11" s="3" t="str">
        <f t="shared" si="2"/>
        <v/>
      </c>
      <c r="AK11" s="3" t="str">
        <f t="shared" si="2"/>
        <v/>
      </c>
      <c r="AL11" s="3" t="str">
        <f t="shared" si="2"/>
        <v/>
      </c>
      <c r="AM11" s="3" t="str">
        <f t="shared" si="2"/>
        <v/>
      </c>
      <c r="AN11" s="3" t="str">
        <f t="shared" si="2"/>
        <v/>
      </c>
      <c r="AO11" s="3" t="str">
        <f t="shared" si="3"/>
        <v/>
      </c>
    </row>
    <row r="12" spans="2:41" x14ac:dyDescent="0.2">
      <c r="B12" s="3" t="str">
        <f t="shared" si="0"/>
        <v/>
      </c>
      <c r="C12" s="3" t="str">
        <f t="shared" si="0"/>
        <v/>
      </c>
      <c r="D12" s="3" t="str">
        <f t="shared" si="0"/>
        <v/>
      </c>
      <c r="E12" s="3" t="str">
        <f t="shared" si="0"/>
        <v/>
      </c>
      <c r="F12" s="3" t="str">
        <f t="shared" si="0"/>
        <v/>
      </c>
      <c r="G12" s="3" t="str">
        <f t="shared" si="0"/>
        <v/>
      </c>
      <c r="H12" s="3" t="str">
        <f t="shared" si="0"/>
        <v/>
      </c>
      <c r="I12" s="3" t="str">
        <f t="shared" si="0"/>
        <v/>
      </c>
      <c r="J12" s="3" t="str">
        <f t="shared" si="0"/>
        <v/>
      </c>
      <c r="K12" s="3" t="str">
        <f t="shared" si="0"/>
        <v/>
      </c>
      <c r="L12" s="3" t="str">
        <f t="shared" si="0"/>
        <v/>
      </c>
      <c r="M12" s="3" t="str">
        <f t="shared" si="0"/>
        <v/>
      </c>
      <c r="N12" s="3" t="str">
        <f t="shared" si="0"/>
        <v/>
      </c>
      <c r="O12" s="3" t="str">
        <f t="shared" si="0"/>
        <v/>
      </c>
      <c r="P12" s="3" t="str">
        <f t="shared" si="0"/>
        <v/>
      </c>
      <c r="Q12" s="3" t="str">
        <f t="shared" si="0"/>
        <v/>
      </c>
      <c r="R12" s="3" t="str">
        <f t="shared" si="4"/>
        <v/>
      </c>
      <c r="S12" s="3" t="str">
        <f t="shared" si="4"/>
        <v/>
      </c>
      <c r="T12" s="3" t="str">
        <f t="shared" si="4"/>
        <v/>
      </c>
      <c r="U12" s="3" t="str">
        <f t="shared" si="4"/>
        <v/>
      </c>
      <c r="V12" s="3" t="str">
        <f t="shared" si="2"/>
        <v/>
      </c>
      <c r="W12" s="3" t="str">
        <f t="shared" si="2"/>
        <v/>
      </c>
      <c r="X12" s="3" t="str">
        <f t="shared" si="2"/>
        <v/>
      </c>
      <c r="Y12" s="3" t="str">
        <f t="shared" si="2"/>
        <v/>
      </c>
      <c r="Z12" s="3" t="str">
        <f t="shared" si="2"/>
        <v/>
      </c>
      <c r="AA12" s="3" t="str">
        <f t="shared" si="2"/>
        <v/>
      </c>
      <c r="AB12" s="3" t="str">
        <f t="shared" si="2"/>
        <v/>
      </c>
      <c r="AC12" s="3" t="str">
        <f t="shared" si="2"/>
        <v/>
      </c>
      <c r="AD12" s="3" t="str">
        <f t="shared" si="2"/>
        <v/>
      </c>
      <c r="AE12" s="3" t="str">
        <f t="shared" si="2"/>
        <v/>
      </c>
      <c r="AF12" s="3" t="str">
        <f t="shared" si="2"/>
        <v/>
      </c>
      <c r="AG12" s="3" t="str">
        <f t="shared" si="2"/>
        <v/>
      </c>
      <c r="AH12" s="3" t="str">
        <f t="shared" si="2"/>
        <v/>
      </c>
      <c r="AI12" s="3" t="str">
        <f t="shared" si="2"/>
        <v/>
      </c>
      <c r="AJ12" s="3" t="str">
        <f t="shared" si="2"/>
        <v/>
      </c>
      <c r="AK12" s="3" t="str">
        <f t="shared" si="2"/>
        <v/>
      </c>
      <c r="AL12" s="3" t="str">
        <f t="shared" si="2"/>
        <v/>
      </c>
      <c r="AM12" s="3" t="str">
        <f t="shared" si="2"/>
        <v/>
      </c>
      <c r="AN12" s="3" t="str">
        <f t="shared" si="2"/>
        <v/>
      </c>
      <c r="AO12" s="3" t="str">
        <f t="shared" si="3"/>
        <v/>
      </c>
    </row>
    <row r="13" spans="2:41" x14ac:dyDescent="0.2">
      <c r="B13" s="3" t="str">
        <f t="shared" si="0"/>
        <v/>
      </c>
      <c r="C13" s="3" t="str">
        <f t="shared" si="0"/>
        <v/>
      </c>
      <c r="D13" s="3" t="str">
        <f t="shared" si="0"/>
        <v/>
      </c>
      <c r="E13" s="3" t="str">
        <f t="shared" si="0"/>
        <v/>
      </c>
      <c r="F13" s="3" t="str">
        <f t="shared" si="0"/>
        <v/>
      </c>
      <c r="G13" s="3" t="str">
        <f t="shared" si="0"/>
        <v/>
      </c>
      <c r="H13" s="3" t="str">
        <f t="shared" si="0"/>
        <v/>
      </c>
      <c r="I13" s="3" t="str">
        <f t="shared" si="0"/>
        <v/>
      </c>
      <c r="J13" s="3" t="str">
        <f t="shared" si="0"/>
        <v/>
      </c>
      <c r="K13" s="3" t="str">
        <f t="shared" si="0"/>
        <v/>
      </c>
      <c r="L13" s="3" t="str">
        <f t="shared" si="0"/>
        <v/>
      </c>
      <c r="M13" s="3" t="str">
        <f t="shared" si="0"/>
        <v/>
      </c>
      <c r="N13" s="3" t="str">
        <f t="shared" si="0"/>
        <v/>
      </c>
      <c r="O13" s="3" t="str">
        <f t="shared" si="0"/>
        <v/>
      </c>
      <c r="P13" s="3" t="str">
        <f t="shared" si="0"/>
        <v/>
      </c>
      <c r="Q13" s="3" t="str">
        <f t="shared" si="0"/>
        <v/>
      </c>
      <c r="R13" s="3" t="str">
        <f t="shared" si="4"/>
        <v/>
      </c>
      <c r="S13" s="3" t="str">
        <f t="shared" si="4"/>
        <v/>
      </c>
      <c r="T13" s="3" t="str">
        <f t="shared" si="4"/>
        <v/>
      </c>
      <c r="U13" s="3" t="str">
        <f t="shared" si="4"/>
        <v/>
      </c>
      <c r="V13" s="3" t="str">
        <f t="shared" si="2"/>
        <v/>
      </c>
      <c r="W13" s="3" t="str">
        <f t="shared" si="2"/>
        <v/>
      </c>
      <c r="X13" s="3" t="str">
        <f t="shared" si="2"/>
        <v/>
      </c>
      <c r="Y13" s="3" t="str">
        <f t="shared" si="2"/>
        <v/>
      </c>
      <c r="Z13" s="3" t="str">
        <f t="shared" si="2"/>
        <v/>
      </c>
      <c r="AA13" s="3" t="str">
        <f t="shared" si="2"/>
        <v/>
      </c>
      <c r="AB13" s="3" t="str">
        <f t="shared" si="2"/>
        <v/>
      </c>
      <c r="AC13" s="3" t="str">
        <f t="shared" si="2"/>
        <v/>
      </c>
      <c r="AD13" s="3" t="str">
        <f t="shared" si="2"/>
        <v/>
      </c>
      <c r="AE13" s="3" t="str">
        <f t="shared" si="2"/>
        <v/>
      </c>
      <c r="AF13" s="3" t="str">
        <f t="shared" si="2"/>
        <v/>
      </c>
      <c r="AG13" s="3" t="str">
        <f t="shared" si="2"/>
        <v/>
      </c>
      <c r="AH13" s="3" t="str">
        <f t="shared" si="2"/>
        <v/>
      </c>
      <c r="AI13" s="3" t="str">
        <f t="shared" si="2"/>
        <v/>
      </c>
      <c r="AJ13" s="3" t="str">
        <f t="shared" si="2"/>
        <v/>
      </c>
      <c r="AK13" s="3" t="str">
        <f t="shared" si="2"/>
        <v/>
      </c>
      <c r="AL13" s="3" t="str">
        <f t="shared" si="2"/>
        <v/>
      </c>
      <c r="AM13" s="3" t="str">
        <f t="shared" si="2"/>
        <v/>
      </c>
      <c r="AN13" s="3" t="str">
        <f t="shared" si="2"/>
        <v/>
      </c>
      <c r="AO13" s="3" t="str">
        <f t="shared" si="3"/>
        <v/>
      </c>
    </row>
    <row r="14" spans="2:41" x14ac:dyDescent="0.2">
      <c r="B14" s="3" t="str">
        <f t="shared" si="0"/>
        <v/>
      </c>
      <c r="C14" s="3" t="str">
        <f t="shared" si="0"/>
        <v/>
      </c>
      <c r="D14" s="3" t="str">
        <f t="shared" si="0"/>
        <v/>
      </c>
      <c r="E14" s="3" t="str">
        <f t="shared" si="0"/>
        <v/>
      </c>
      <c r="F14" s="3" t="str">
        <f t="shared" si="0"/>
        <v/>
      </c>
      <c r="G14" s="3" t="str">
        <f t="shared" si="0"/>
        <v/>
      </c>
      <c r="H14" s="3" t="str">
        <f t="shared" si="0"/>
        <v/>
      </c>
      <c r="I14" s="3" t="str">
        <f t="shared" si="0"/>
        <v/>
      </c>
      <c r="J14" s="3" t="str">
        <f t="shared" si="0"/>
        <v/>
      </c>
      <c r="K14" s="3" t="str">
        <f t="shared" si="0"/>
        <v/>
      </c>
      <c r="L14" s="3" t="str">
        <f t="shared" si="0"/>
        <v/>
      </c>
      <c r="M14" s="3" t="str">
        <f t="shared" si="0"/>
        <v/>
      </c>
      <c r="N14" s="3" t="str">
        <f t="shared" si="0"/>
        <v/>
      </c>
      <c r="O14" s="3" t="str">
        <f t="shared" si="0"/>
        <v/>
      </c>
      <c r="P14" s="3" t="str">
        <f t="shared" si="0"/>
        <v/>
      </c>
      <c r="Q14" s="3" t="str">
        <f t="shared" si="0"/>
        <v/>
      </c>
      <c r="R14" s="3" t="str">
        <f t="shared" si="4"/>
        <v/>
      </c>
      <c r="S14" s="3" t="str">
        <f t="shared" si="4"/>
        <v/>
      </c>
      <c r="T14" s="3" t="str">
        <f t="shared" si="4"/>
        <v/>
      </c>
      <c r="U14" s="3" t="str">
        <f t="shared" si="4"/>
        <v/>
      </c>
      <c r="V14" s="3" t="str">
        <f t="shared" si="2"/>
        <v/>
      </c>
      <c r="W14" s="3" t="str">
        <f t="shared" si="2"/>
        <v/>
      </c>
      <c r="X14" s="3" t="str">
        <f t="shared" si="2"/>
        <v/>
      </c>
      <c r="Y14" s="3" t="str">
        <f t="shared" si="2"/>
        <v/>
      </c>
      <c r="Z14" s="3" t="str">
        <f t="shared" si="2"/>
        <v/>
      </c>
      <c r="AA14" s="3" t="str">
        <f t="shared" si="2"/>
        <v/>
      </c>
      <c r="AB14" s="3" t="str">
        <f t="shared" si="2"/>
        <v/>
      </c>
      <c r="AC14" s="3" t="str">
        <f t="shared" si="2"/>
        <v/>
      </c>
      <c r="AD14" s="3" t="str">
        <f t="shared" si="2"/>
        <v/>
      </c>
      <c r="AE14" s="3" t="str">
        <f t="shared" si="2"/>
        <v/>
      </c>
      <c r="AF14" s="3" t="str">
        <f t="shared" si="2"/>
        <v/>
      </c>
      <c r="AG14" s="3" t="str">
        <f t="shared" si="2"/>
        <v/>
      </c>
      <c r="AH14" s="3" t="str">
        <f t="shared" si="2"/>
        <v/>
      </c>
      <c r="AI14" s="3" t="str">
        <f t="shared" si="2"/>
        <v/>
      </c>
      <c r="AJ14" s="3" t="str">
        <f t="shared" si="2"/>
        <v/>
      </c>
      <c r="AK14" s="3" t="str">
        <f t="shared" si="2"/>
        <v/>
      </c>
      <c r="AL14" s="3" t="str">
        <f t="shared" si="2"/>
        <v/>
      </c>
      <c r="AM14" s="3" t="str">
        <f t="shared" si="2"/>
        <v/>
      </c>
      <c r="AN14" s="3" t="str">
        <f t="shared" si="2"/>
        <v/>
      </c>
      <c r="AO14" s="3" t="str">
        <f t="shared" si="3"/>
        <v/>
      </c>
    </row>
    <row r="15" spans="2:41" x14ac:dyDescent="0.2">
      <c r="B15" s="3" t="str">
        <f t="shared" si="0"/>
        <v/>
      </c>
      <c r="C15" s="3" t="str">
        <f t="shared" si="0"/>
        <v/>
      </c>
      <c r="D15" s="3" t="str">
        <f t="shared" si="0"/>
        <v/>
      </c>
      <c r="E15" s="3" t="str">
        <f t="shared" si="0"/>
        <v/>
      </c>
      <c r="F15" s="3" t="str">
        <f t="shared" si="0"/>
        <v/>
      </c>
      <c r="G15" s="3" t="str">
        <f t="shared" si="0"/>
        <v/>
      </c>
      <c r="H15" s="3" t="str">
        <f t="shared" si="0"/>
        <v/>
      </c>
      <c r="I15" s="3" t="str">
        <f t="shared" si="0"/>
        <v/>
      </c>
      <c r="J15" s="3" t="str">
        <f t="shared" si="0"/>
        <v/>
      </c>
      <c r="K15" s="3" t="str">
        <f t="shared" si="0"/>
        <v/>
      </c>
      <c r="L15" s="3" t="str">
        <f t="shared" si="0"/>
        <v/>
      </c>
      <c r="M15" s="3" t="str">
        <f t="shared" si="0"/>
        <v/>
      </c>
      <c r="N15" s="3" t="str">
        <f t="shared" si="0"/>
        <v/>
      </c>
      <c r="O15" s="3" t="str">
        <f t="shared" si="0"/>
        <v/>
      </c>
      <c r="P15" s="3" t="str">
        <f t="shared" si="0"/>
        <v/>
      </c>
      <c r="Q15" s="3" t="str">
        <f t="shared" si="0"/>
        <v/>
      </c>
      <c r="R15" s="3" t="str">
        <f t="shared" si="4"/>
        <v/>
      </c>
      <c r="S15" s="3" t="str">
        <f t="shared" si="4"/>
        <v/>
      </c>
      <c r="T15" s="3" t="str">
        <f t="shared" si="4"/>
        <v/>
      </c>
      <c r="U15" s="3" t="str">
        <f t="shared" si="4"/>
        <v/>
      </c>
      <c r="V15" s="3" t="str">
        <f t="shared" si="2"/>
        <v/>
      </c>
      <c r="W15" s="3" t="str">
        <f t="shared" si="2"/>
        <v/>
      </c>
      <c r="X15" s="3" t="str">
        <f t="shared" si="2"/>
        <v/>
      </c>
      <c r="Y15" s="3" t="str">
        <f t="shared" si="2"/>
        <v/>
      </c>
      <c r="Z15" s="3" t="str">
        <f t="shared" si="2"/>
        <v/>
      </c>
      <c r="AA15" s="3" t="str">
        <f t="shared" si="2"/>
        <v/>
      </c>
      <c r="AB15" s="3" t="str">
        <f t="shared" si="2"/>
        <v/>
      </c>
      <c r="AC15" s="3" t="str">
        <f t="shared" si="2"/>
        <v/>
      </c>
      <c r="AD15" s="3" t="str">
        <f t="shared" si="2"/>
        <v/>
      </c>
      <c r="AE15" s="3" t="str">
        <f t="shared" si="2"/>
        <v/>
      </c>
      <c r="AF15" s="3" t="str">
        <f t="shared" si="2"/>
        <v/>
      </c>
      <c r="AG15" s="3" t="str">
        <f t="shared" si="2"/>
        <v/>
      </c>
      <c r="AH15" s="3" t="str">
        <f t="shared" si="2"/>
        <v/>
      </c>
      <c r="AI15" s="3" t="str">
        <f t="shared" si="2"/>
        <v/>
      </c>
      <c r="AJ15" s="3" t="str">
        <f t="shared" si="2"/>
        <v/>
      </c>
      <c r="AK15" s="3" t="str">
        <f t="shared" si="2"/>
        <v/>
      </c>
      <c r="AL15" s="3" t="str">
        <f t="shared" si="2"/>
        <v/>
      </c>
      <c r="AM15" s="3" t="str">
        <f t="shared" si="2"/>
        <v/>
      </c>
      <c r="AN15" s="3" t="str">
        <f t="shared" si="2"/>
        <v/>
      </c>
      <c r="AO15" s="3" t="str">
        <f t="shared" si="3"/>
        <v/>
      </c>
    </row>
    <row r="16" spans="2:41" x14ac:dyDescent="0.2">
      <c r="B16" s="3" t="str">
        <f t="shared" si="0"/>
        <v/>
      </c>
      <c r="C16" s="3" t="str">
        <f t="shared" si="0"/>
        <v/>
      </c>
      <c r="D16" s="3" t="str">
        <f t="shared" si="0"/>
        <v/>
      </c>
      <c r="E16" s="3" t="str">
        <f t="shared" si="0"/>
        <v/>
      </c>
      <c r="F16" s="3" t="str">
        <f t="shared" si="0"/>
        <v/>
      </c>
      <c r="G16" s="3" t="str">
        <f t="shared" si="0"/>
        <v/>
      </c>
      <c r="H16" s="3" t="str">
        <f t="shared" si="0"/>
        <v/>
      </c>
      <c r="I16" s="3" t="str">
        <f t="shared" si="0"/>
        <v/>
      </c>
      <c r="J16" s="3" t="str">
        <f t="shared" si="0"/>
        <v/>
      </c>
      <c r="K16" s="3" t="str">
        <f t="shared" si="0"/>
        <v/>
      </c>
      <c r="L16" s="3" t="str">
        <f t="shared" si="0"/>
        <v/>
      </c>
      <c r="M16" s="3" t="str">
        <f t="shared" si="0"/>
        <v/>
      </c>
      <c r="N16" s="3" t="str">
        <f t="shared" si="0"/>
        <v/>
      </c>
      <c r="O16" s="3" t="str">
        <f t="shared" si="0"/>
        <v/>
      </c>
      <c r="P16" s="3" t="str">
        <f t="shared" si="0"/>
        <v/>
      </c>
      <c r="Q16" s="3" t="str">
        <f t="shared" si="0"/>
        <v/>
      </c>
      <c r="R16" s="3" t="str">
        <f t="shared" si="4"/>
        <v/>
      </c>
      <c r="S16" s="3" t="str">
        <f t="shared" si="4"/>
        <v/>
      </c>
      <c r="T16" s="3" t="str">
        <f t="shared" si="4"/>
        <v/>
      </c>
      <c r="U16" s="3" t="str">
        <f t="shared" si="4"/>
        <v/>
      </c>
      <c r="V16" s="3" t="str">
        <f t="shared" si="2"/>
        <v/>
      </c>
      <c r="W16" s="3" t="str">
        <f t="shared" si="2"/>
        <v/>
      </c>
      <c r="X16" s="3" t="str">
        <f t="shared" si="2"/>
        <v/>
      </c>
      <c r="Y16" s="3" t="str">
        <f t="shared" si="2"/>
        <v/>
      </c>
      <c r="Z16" s="3" t="str">
        <f t="shared" si="2"/>
        <v/>
      </c>
      <c r="AA16" s="3" t="str">
        <f t="shared" si="2"/>
        <v/>
      </c>
      <c r="AB16" s="3" t="str">
        <f t="shared" si="2"/>
        <v/>
      </c>
      <c r="AC16" s="3" t="str">
        <f t="shared" si="2"/>
        <v/>
      </c>
      <c r="AD16" s="3" t="str">
        <f t="shared" si="2"/>
        <v/>
      </c>
      <c r="AE16" s="3" t="str">
        <f t="shared" si="2"/>
        <v/>
      </c>
      <c r="AF16" s="3" t="str">
        <f t="shared" si="2"/>
        <v/>
      </c>
      <c r="AG16" s="3" t="str">
        <f t="shared" si="2"/>
        <v/>
      </c>
      <c r="AH16" s="3" t="str">
        <f t="shared" si="2"/>
        <v/>
      </c>
      <c r="AI16" s="3" t="str">
        <f t="shared" si="2"/>
        <v/>
      </c>
      <c r="AJ16" s="3" t="str">
        <f t="shared" si="2"/>
        <v/>
      </c>
      <c r="AK16" s="3" t="str">
        <f t="shared" si="2"/>
        <v/>
      </c>
      <c r="AL16" s="3" t="str">
        <f t="shared" si="2"/>
        <v/>
      </c>
      <c r="AM16" s="3" t="str">
        <f t="shared" si="2"/>
        <v/>
      </c>
      <c r="AN16" s="3" t="str">
        <f t="shared" si="2"/>
        <v/>
      </c>
      <c r="AO16" s="3" t="str">
        <f t="shared" si="3"/>
        <v/>
      </c>
    </row>
    <row r="17" spans="2:41" x14ac:dyDescent="0.2">
      <c r="B17" s="3" t="str">
        <f t="shared" si="0"/>
        <v/>
      </c>
      <c r="C17" s="3" t="str">
        <f t="shared" si="0"/>
        <v/>
      </c>
      <c r="D17" s="3" t="str">
        <f t="shared" si="0"/>
        <v/>
      </c>
      <c r="E17" s="3" t="str">
        <f t="shared" si="0"/>
        <v/>
      </c>
      <c r="F17" s="3" t="str">
        <f t="shared" si="0"/>
        <v/>
      </c>
      <c r="G17" s="3" t="str">
        <f t="shared" si="0"/>
        <v/>
      </c>
      <c r="H17" s="3" t="str">
        <f t="shared" si="0"/>
        <v/>
      </c>
      <c r="I17" s="3" t="str">
        <f t="shared" si="0"/>
        <v/>
      </c>
      <c r="J17" s="3" t="str">
        <f t="shared" si="0"/>
        <v/>
      </c>
      <c r="K17" s="3" t="str">
        <f t="shared" si="0"/>
        <v/>
      </c>
      <c r="L17" s="3" t="str">
        <f t="shared" si="0"/>
        <v/>
      </c>
      <c r="M17" s="3" t="str">
        <f t="shared" si="0"/>
        <v/>
      </c>
      <c r="N17" s="3" t="str">
        <f t="shared" si="0"/>
        <v/>
      </c>
      <c r="O17" s="3" t="str">
        <f t="shared" si="0"/>
        <v/>
      </c>
      <c r="P17" s="3" t="str">
        <f t="shared" si="0"/>
        <v/>
      </c>
      <c r="Q17" s="3" t="str">
        <f t="shared" si="0"/>
        <v/>
      </c>
      <c r="R17" s="3" t="str">
        <f t="shared" si="4"/>
        <v/>
      </c>
      <c r="S17" s="3" t="str">
        <f t="shared" si="4"/>
        <v/>
      </c>
      <c r="T17" s="3" t="str">
        <f t="shared" si="4"/>
        <v/>
      </c>
      <c r="U17" s="3" t="str">
        <f t="shared" si="4"/>
        <v/>
      </c>
      <c r="V17" s="3" t="str">
        <f t="shared" si="2"/>
        <v/>
      </c>
      <c r="W17" s="3" t="str">
        <f t="shared" ref="V17:AN31" si="5">resultado</f>
        <v/>
      </c>
      <c r="X17" s="3" t="str">
        <f t="shared" si="5"/>
        <v/>
      </c>
      <c r="Y17" s="3" t="str">
        <f t="shared" si="5"/>
        <v/>
      </c>
      <c r="Z17" s="3" t="str">
        <f t="shared" si="5"/>
        <v/>
      </c>
      <c r="AA17" s="3" t="str">
        <f t="shared" si="5"/>
        <v/>
      </c>
      <c r="AB17" s="3" t="str">
        <f t="shared" si="5"/>
        <v/>
      </c>
      <c r="AC17" s="3" t="str">
        <f t="shared" si="5"/>
        <v/>
      </c>
      <c r="AD17" s="3" t="str">
        <f t="shared" si="5"/>
        <v/>
      </c>
      <c r="AE17" s="3" t="str">
        <f t="shared" si="5"/>
        <v/>
      </c>
      <c r="AF17" s="3" t="str">
        <f t="shared" si="5"/>
        <v/>
      </c>
      <c r="AG17" s="3" t="str">
        <f t="shared" si="5"/>
        <v/>
      </c>
      <c r="AH17" s="3" t="str">
        <f t="shared" si="5"/>
        <v/>
      </c>
      <c r="AI17" s="3" t="str">
        <f t="shared" si="5"/>
        <v/>
      </c>
      <c r="AJ17" s="3" t="str">
        <f t="shared" si="5"/>
        <v/>
      </c>
      <c r="AK17" s="3" t="str">
        <f t="shared" si="5"/>
        <v/>
      </c>
      <c r="AL17" s="3" t="str">
        <f t="shared" si="5"/>
        <v/>
      </c>
      <c r="AM17" s="3" t="str">
        <f t="shared" si="5"/>
        <v/>
      </c>
      <c r="AN17" s="3" t="str">
        <f t="shared" si="5"/>
        <v/>
      </c>
      <c r="AO17" s="3" t="str">
        <f t="shared" si="3"/>
        <v/>
      </c>
    </row>
    <row r="18" spans="2:41" x14ac:dyDescent="0.2">
      <c r="B18" s="3" t="str">
        <f t="shared" si="0"/>
        <v/>
      </c>
      <c r="C18" s="3" t="str">
        <f t="shared" si="0"/>
        <v/>
      </c>
      <c r="D18" s="3" t="str">
        <f t="shared" si="0"/>
        <v/>
      </c>
      <c r="E18" s="3" t="str">
        <f t="shared" si="0"/>
        <v/>
      </c>
      <c r="F18" s="3" t="str">
        <f t="shared" si="0"/>
        <v/>
      </c>
      <c r="G18" s="3" t="str">
        <f t="shared" si="0"/>
        <v/>
      </c>
      <c r="H18" s="3" t="str">
        <f t="shared" si="0"/>
        <v/>
      </c>
      <c r="I18" s="3" t="str">
        <f t="shared" si="0"/>
        <v/>
      </c>
      <c r="J18" s="3" t="str">
        <f t="shared" si="0"/>
        <v/>
      </c>
      <c r="K18" s="3" t="str">
        <f t="shared" si="0"/>
        <v/>
      </c>
      <c r="L18" s="3" t="str">
        <f t="shared" si="0"/>
        <v/>
      </c>
      <c r="M18" s="3" t="str">
        <f t="shared" si="0"/>
        <v/>
      </c>
      <c r="N18" s="3" t="str">
        <f t="shared" si="0"/>
        <v/>
      </c>
      <c r="O18" s="3" t="str">
        <f t="shared" si="0"/>
        <v/>
      </c>
      <c r="P18" s="3" t="str">
        <f t="shared" si="0"/>
        <v/>
      </c>
      <c r="Q18" s="3" t="str">
        <f>resultado</f>
        <v/>
      </c>
      <c r="R18" s="3" t="str">
        <f t="shared" si="4"/>
        <v/>
      </c>
      <c r="S18" s="3" t="str">
        <f t="shared" si="4"/>
        <v/>
      </c>
      <c r="T18" s="3" t="str">
        <f t="shared" si="4"/>
        <v/>
      </c>
      <c r="U18" s="3" t="str">
        <f t="shared" si="4"/>
        <v/>
      </c>
      <c r="V18" s="3" t="str">
        <f t="shared" si="5"/>
        <v/>
      </c>
      <c r="W18" s="3" t="str">
        <f t="shared" si="5"/>
        <v/>
      </c>
      <c r="X18" s="3" t="str">
        <f t="shared" si="5"/>
        <v/>
      </c>
      <c r="Y18" s="3" t="str">
        <f t="shared" si="5"/>
        <v/>
      </c>
      <c r="Z18" s="3" t="str">
        <f t="shared" si="5"/>
        <v/>
      </c>
      <c r="AA18" s="3" t="str">
        <f t="shared" si="5"/>
        <v/>
      </c>
      <c r="AB18" s="3" t="str">
        <f t="shared" si="5"/>
        <v/>
      </c>
      <c r="AC18" s="3" t="str">
        <f t="shared" si="5"/>
        <v/>
      </c>
      <c r="AD18" s="3" t="str">
        <f t="shared" si="5"/>
        <v/>
      </c>
      <c r="AE18" s="3" t="str">
        <f t="shared" si="5"/>
        <v/>
      </c>
      <c r="AF18" s="3" t="str">
        <f t="shared" si="5"/>
        <v/>
      </c>
      <c r="AG18" s="3" t="str">
        <f t="shared" si="5"/>
        <v/>
      </c>
      <c r="AH18" s="3" t="str">
        <f t="shared" si="5"/>
        <v/>
      </c>
      <c r="AI18" s="3" t="str">
        <f t="shared" si="5"/>
        <v/>
      </c>
      <c r="AJ18" s="3" t="str">
        <f t="shared" si="5"/>
        <v/>
      </c>
      <c r="AK18" s="3" t="str">
        <f t="shared" si="5"/>
        <v/>
      </c>
      <c r="AL18" s="3" t="str">
        <f t="shared" si="5"/>
        <v/>
      </c>
      <c r="AM18" s="3" t="str">
        <f t="shared" si="5"/>
        <v/>
      </c>
      <c r="AN18" s="3" t="str">
        <f t="shared" si="5"/>
        <v/>
      </c>
      <c r="AO18" s="3" t="str">
        <f t="shared" si="3"/>
        <v/>
      </c>
    </row>
    <row r="19" spans="2:41" x14ac:dyDescent="0.2">
      <c r="B19" s="3" t="str">
        <f t="shared" ref="B19:R34" si="6">resultado</f>
        <v/>
      </c>
      <c r="C19" s="3" t="str">
        <f t="shared" si="6"/>
        <v/>
      </c>
      <c r="D19" s="3" t="str">
        <f t="shared" si="6"/>
        <v/>
      </c>
      <c r="E19" s="3" t="str">
        <f t="shared" si="6"/>
        <v/>
      </c>
      <c r="F19" s="3" t="str">
        <f t="shared" si="6"/>
        <v/>
      </c>
      <c r="G19" s="3" t="str">
        <f t="shared" si="6"/>
        <v/>
      </c>
      <c r="H19" s="3" t="str">
        <f t="shared" si="6"/>
        <v/>
      </c>
      <c r="I19" s="3" t="str">
        <f t="shared" si="6"/>
        <v/>
      </c>
      <c r="J19" s="3" t="str">
        <f t="shared" si="6"/>
        <v/>
      </c>
      <c r="K19" s="3" t="str">
        <f t="shared" si="6"/>
        <v/>
      </c>
      <c r="L19" s="3" t="str">
        <f t="shared" si="6"/>
        <v/>
      </c>
      <c r="M19" s="3" t="str">
        <f t="shared" si="6"/>
        <v/>
      </c>
      <c r="N19" s="3" t="str">
        <f t="shared" si="6"/>
        <v/>
      </c>
      <c r="O19" s="3" t="str">
        <f t="shared" si="6"/>
        <v/>
      </c>
      <c r="P19" s="3" t="str">
        <f t="shared" si="6"/>
        <v/>
      </c>
      <c r="Q19" s="3" t="str">
        <f t="shared" si="6"/>
        <v/>
      </c>
      <c r="R19" s="3" t="str">
        <f t="shared" si="6"/>
        <v/>
      </c>
      <c r="S19" s="3" t="str">
        <f t="shared" ref="S19:AG19" si="7">resultado</f>
        <v/>
      </c>
      <c r="T19" s="3" t="str">
        <f t="shared" si="7"/>
        <v/>
      </c>
      <c r="U19" s="3" t="str">
        <f t="shared" si="7"/>
        <v/>
      </c>
      <c r="V19" s="3" t="str">
        <f t="shared" si="7"/>
        <v/>
      </c>
      <c r="W19" s="3" t="str">
        <f t="shared" si="7"/>
        <v/>
      </c>
      <c r="X19" s="3" t="str">
        <f t="shared" si="7"/>
        <v/>
      </c>
      <c r="Y19" s="3" t="str">
        <f t="shared" si="7"/>
        <v/>
      </c>
      <c r="Z19" s="3" t="str">
        <f t="shared" si="7"/>
        <v/>
      </c>
      <c r="AA19" s="3" t="str">
        <f t="shared" si="7"/>
        <v/>
      </c>
      <c r="AB19" s="3" t="str">
        <f t="shared" si="7"/>
        <v/>
      </c>
      <c r="AC19" s="3" t="str">
        <f t="shared" si="7"/>
        <v/>
      </c>
      <c r="AD19" s="3" t="str">
        <f t="shared" si="7"/>
        <v/>
      </c>
      <c r="AE19" s="3" t="str">
        <f t="shared" si="7"/>
        <v/>
      </c>
      <c r="AF19" s="3" t="str">
        <f t="shared" si="7"/>
        <v/>
      </c>
      <c r="AG19" s="3" t="str">
        <f t="shared" si="7"/>
        <v/>
      </c>
      <c r="AH19" s="3" t="str">
        <f t="shared" si="5"/>
        <v/>
      </c>
      <c r="AI19" s="3" t="str">
        <f t="shared" si="5"/>
        <v/>
      </c>
      <c r="AJ19" s="3" t="str">
        <f t="shared" si="5"/>
        <v/>
      </c>
      <c r="AK19" s="3" t="str">
        <f t="shared" si="5"/>
        <v/>
      </c>
      <c r="AL19" s="3" t="str">
        <f t="shared" si="5"/>
        <v/>
      </c>
      <c r="AM19" s="3" t="str">
        <f t="shared" si="5"/>
        <v/>
      </c>
      <c r="AN19" s="3" t="str">
        <f t="shared" si="5"/>
        <v/>
      </c>
      <c r="AO19" s="3" t="str">
        <f t="shared" si="3"/>
        <v/>
      </c>
    </row>
    <row r="20" spans="2:41" x14ac:dyDescent="0.2">
      <c r="B20" s="3" t="str">
        <f t="shared" si="6"/>
        <v/>
      </c>
      <c r="C20" s="3" t="str">
        <f t="shared" si="6"/>
        <v/>
      </c>
      <c r="D20" s="3" t="str">
        <f t="shared" si="6"/>
        <v/>
      </c>
      <c r="E20" s="3" t="str">
        <f t="shared" si="6"/>
        <v/>
      </c>
      <c r="F20" s="3" t="str">
        <f t="shared" si="6"/>
        <v/>
      </c>
      <c r="G20" s="3" t="str">
        <f t="shared" si="6"/>
        <v/>
      </c>
      <c r="H20" s="3" t="str">
        <f t="shared" si="6"/>
        <v/>
      </c>
      <c r="I20" s="3" t="str">
        <f t="shared" si="6"/>
        <v/>
      </c>
      <c r="J20" s="3" t="str">
        <f t="shared" si="6"/>
        <v/>
      </c>
      <c r="K20" s="3" t="str">
        <f t="shared" si="6"/>
        <v/>
      </c>
      <c r="L20" s="3" t="str">
        <f t="shared" si="6"/>
        <v/>
      </c>
      <c r="M20" s="3" t="str">
        <f t="shared" si="6"/>
        <v/>
      </c>
      <c r="N20" s="3" t="str">
        <f t="shared" si="6"/>
        <v/>
      </c>
      <c r="O20" s="3" t="str">
        <f t="shared" si="6"/>
        <v/>
      </c>
      <c r="P20" s="3" t="str">
        <f t="shared" si="6"/>
        <v/>
      </c>
      <c r="Q20" s="3" t="str">
        <f t="shared" si="6"/>
        <v/>
      </c>
      <c r="R20" s="3" t="str">
        <f t="shared" ref="R20:U42" si="8">resultado</f>
        <v/>
      </c>
      <c r="S20" s="3" t="str">
        <f t="shared" si="8"/>
        <v/>
      </c>
      <c r="T20" s="3" t="str">
        <f t="shared" si="8"/>
        <v/>
      </c>
      <c r="U20" s="3" t="str">
        <f t="shared" si="8"/>
        <v/>
      </c>
      <c r="V20" s="3" t="str">
        <f t="shared" si="5"/>
        <v/>
      </c>
      <c r="W20" s="3" t="str">
        <f t="shared" si="5"/>
        <v/>
      </c>
      <c r="X20" s="3" t="str">
        <f t="shared" si="5"/>
        <v/>
      </c>
      <c r="Y20" s="3" t="str">
        <f t="shared" si="5"/>
        <v/>
      </c>
      <c r="Z20" s="3" t="str">
        <f t="shared" si="5"/>
        <v/>
      </c>
      <c r="AA20" s="3" t="str">
        <f t="shared" si="5"/>
        <v/>
      </c>
      <c r="AB20" s="3" t="str">
        <f t="shared" si="5"/>
        <v/>
      </c>
      <c r="AC20" s="3" t="str">
        <f t="shared" si="5"/>
        <v/>
      </c>
      <c r="AD20" s="3" t="str">
        <f t="shared" si="5"/>
        <v/>
      </c>
      <c r="AE20" s="3" t="str">
        <f t="shared" si="5"/>
        <v/>
      </c>
      <c r="AF20" s="3" t="str">
        <f t="shared" si="5"/>
        <v/>
      </c>
      <c r="AG20" s="3" t="str">
        <f t="shared" si="5"/>
        <v/>
      </c>
      <c r="AH20" s="3" t="str">
        <f t="shared" si="5"/>
        <v/>
      </c>
      <c r="AI20" s="3" t="str">
        <f t="shared" si="5"/>
        <v/>
      </c>
      <c r="AJ20" s="3" t="str">
        <f t="shared" si="5"/>
        <v/>
      </c>
      <c r="AK20" s="3" t="str">
        <f t="shared" si="5"/>
        <v/>
      </c>
      <c r="AL20" s="3" t="str">
        <f t="shared" si="5"/>
        <v/>
      </c>
      <c r="AM20" s="3" t="str">
        <f t="shared" si="5"/>
        <v/>
      </c>
      <c r="AN20" s="3" t="str">
        <f t="shared" si="5"/>
        <v/>
      </c>
      <c r="AO20" s="3" t="str">
        <f t="shared" si="3"/>
        <v/>
      </c>
    </row>
    <row r="21" spans="2:41" x14ac:dyDescent="0.2">
      <c r="B21" s="3" t="str">
        <f t="shared" si="6"/>
        <v/>
      </c>
      <c r="C21" s="3" t="str">
        <f t="shared" si="6"/>
        <v/>
      </c>
      <c r="D21" s="3" t="str">
        <f t="shared" si="6"/>
        <v/>
      </c>
      <c r="E21" s="3" t="str">
        <f t="shared" si="6"/>
        <v/>
      </c>
      <c r="F21" s="3" t="str">
        <f t="shared" si="6"/>
        <v/>
      </c>
      <c r="G21" s="3" t="str">
        <f t="shared" si="6"/>
        <v/>
      </c>
      <c r="H21" s="3" t="str">
        <f t="shared" si="6"/>
        <v/>
      </c>
      <c r="I21" s="3" t="str">
        <f t="shared" si="6"/>
        <v/>
      </c>
      <c r="J21" s="3" t="str">
        <f t="shared" si="6"/>
        <v/>
      </c>
      <c r="K21" s="3" t="str">
        <f t="shared" si="6"/>
        <v/>
      </c>
      <c r="L21" s="3" t="str">
        <f t="shared" si="6"/>
        <v/>
      </c>
      <c r="M21" s="3" t="str">
        <f t="shared" si="6"/>
        <v/>
      </c>
      <c r="N21" s="3" t="str">
        <f t="shared" si="6"/>
        <v/>
      </c>
      <c r="O21" s="3" t="str">
        <f t="shared" si="6"/>
        <v/>
      </c>
      <c r="P21" s="3" t="str">
        <f t="shared" si="6"/>
        <v/>
      </c>
      <c r="Q21" s="3" t="str">
        <f t="shared" si="6"/>
        <v/>
      </c>
      <c r="R21" s="3" t="str">
        <f t="shared" si="8"/>
        <v/>
      </c>
      <c r="S21" s="3" t="str">
        <f t="shared" si="8"/>
        <v/>
      </c>
      <c r="T21" s="3" t="str">
        <f t="shared" si="8"/>
        <v/>
      </c>
      <c r="U21" s="3" t="str">
        <f t="shared" si="8"/>
        <v/>
      </c>
      <c r="V21" s="3" t="str">
        <f t="shared" si="5"/>
        <v/>
      </c>
      <c r="W21" s="3" t="str">
        <f t="shared" si="5"/>
        <v/>
      </c>
      <c r="X21" s="3" t="str">
        <f t="shared" si="5"/>
        <v/>
      </c>
      <c r="Y21" s="3" t="str">
        <f t="shared" si="5"/>
        <v/>
      </c>
      <c r="Z21" s="3" t="str">
        <f t="shared" si="5"/>
        <v/>
      </c>
      <c r="AA21" s="3" t="str">
        <f t="shared" si="5"/>
        <v/>
      </c>
      <c r="AB21" s="3" t="str">
        <f t="shared" si="5"/>
        <v/>
      </c>
      <c r="AC21" s="3" t="str">
        <f t="shared" si="5"/>
        <v/>
      </c>
      <c r="AD21" s="3" t="str">
        <f t="shared" si="5"/>
        <v/>
      </c>
      <c r="AE21" s="3" t="str">
        <f t="shared" si="5"/>
        <v/>
      </c>
      <c r="AF21" s="3" t="str">
        <f t="shared" si="5"/>
        <v/>
      </c>
      <c r="AG21" s="3" t="str">
        <f t="shared" si="5"/>
        <v/>
      </c>
      <c r="AH21" s="3" t="str">
        <f t="shared" si="5"/>
        <v/>
      </c>
      <c r="AI21" s="3" t="str">
        <f t="shared" si="5"/>
        <v/>
      </c>
      <c r="AJ21" s="3" t="str">
        <f t="shared" si="5"/>
        <v/>
      </c>
      <c r="AK21" s="3" t="str">
        <f t="shared" si="5"/>
        <v/>
      </c>
      <c r="AL21" s="3" t="str">
        <f t="shared" si="5"/>
        <v/>
      </c>
      <c r="AM21" s="3" t="str">
        <f t="shared" si="5"/>
        <v/>
      </c>
      <c r="AN21" s="3" t="str">
        <f t="shared" si="5"/>
        <v/>
      </c>
      <c r="AO21" s="3" t="str">
        <f t="shared" si="3"/>
        <v/>
      </c>
    </row>
    <row r="22" spans="2:41" x14ac:dyDescent="0.2">
      <c r="B22" s="3" t="str">
        <f t="shared" si="6"/>
        <v/>
      </c>
      <c r="C22" s="3" t="str">
        <f t="shared" si="6"/>
        <v/>
      </c>
      <c r="D22" s="3" t="str">
        <f t="shared" si="6"/>
        <v/>
      </c>
      <c r="E22" s="3" t="str">
        <f t="shared" si="6"/>
        <v/>
      </c>
      <c r="F22" s="3" t="str">
        <f t="shared" si="6"/>
        <v/>
      </c>
      <c r="G22" s="3" t="str">
        <f t="shared" si="6"/>
        <v/>
      </c>
      <c r="H22" s="3" t="str">
        <f t="shared" si="6"/>
        <v/>
      </c>
      <c r="I22" s="3" t="str">
        <f t="shared" si="6"/>
        <v/>
      </c>
      <c r="J22" s="3" t="str">
        <f t="shared" si="6"/>
        <v/>
      </c>
      <c r="K22" s="3" t="str">
        <f t="shared" si="6"/>
        <v/>
      </c>
      <c r="L22" s="3" t="str">
        <f t="shared" si="6"/>
        <v/>
      </c>
      <c r="M22" s="3" t="str">
        <f t="shared" si="6"/>
        <v/>
      </c>
      <c r="N22" s="3" t="str">
        <f t="shared" si="6"/>
        <v/>
      </c>
      <c r="O22" s="3" t="str">
        <f t="shared" si="6"/>
        <v/>
      </c>
      <c r="P22" s="3" t="str">
        <f t="shared" si="6"/>
        <v/>
      </c>
      <c r="Q22" s="3" t="str">
        <f t="shared" si="6"/>
        <v/>
      </c>
      <c r="R22" s="3" t="str">
        <f t="shared" si="8"/>
        <v/>
      </c>
      <c r="S22" s="3" t="str">
        <f t="shared" si="8"/>
        <v/>
      </c>
      <c r="T22" s="3" t="str">
        <f t="shared" si="8"/>
        <v/>
      </c>
      <c r="U22" s="3" t="str">
        <f t="shared" si="8"/>
        <v/>
      </c>
      <c r="V22" s="3" t="str">
        <f t="shared" si="5"/>
        <v/>
      </c>
      <c r="W22" s="3" t="str">
        <f t="shared" si="5"/>
        <v/>
      </c>
      <c r="X22" s="3" t="str">
        <f t="shared" si="5"/>
        <v/>
      </c>
      <c r="Y22" s="3" t="str">
        <f t="shared" si="5"/>
        <v/>
      </c>
      <c r="Z22" s="3" t="str">
        <f t="shared" si="5"/>
        <v/>
      </c>
      <c r="AA22" s="3" t="str">
        <f t="shared" si="5"/>
        <v/>
      </c>
      <c r="AB22" s="3" t="str">
        <f t="shared" si="5"/>
        <v/>
      </c>
      <c r="AC22" s="3" t="str">
        <f t="shared" si="5"/>
        <v/>
      </c>
      <c r="AD22" s="3" t="str">
        <f t="shared" si="5"/>
        <v/>
      </c>
      <c r="AE22" s="3" t="str">
        <f t="shared" si="5"/>
        <v/>
      </c>
      <c r="AF22" s="3" t="str">
        <f t="shared" si="5"/>
        <v/>
      </c>
      <c r="AG22" s="3" t="str">
        <f t="shared" si="5"/>
        <v/>
      </c>
      <c r="AH22" s="3" t="str">
        <f t="shared" si="5"/>
        <v/>
      </c>
      <c r="AI22" s="3" t="str">
        <f t="shared" si="5"/>
        <v/>
      </c>
      <c r="AJ22" s="3" t="str">
        <f t="shared" si="5"/>
        <v/>
      </c>
      <c r="AK22" s="3" t="str">
        <f t="shared" si="5"/>
        <v/>
      </c>
      <c r="AL22" s="3" t="str">
        <f t="shared" si="5"/>
        <v/>
      </c>
      <c r="AM22" s="3" t="str">
        <f t="shared" si="5"/>
        <v/>
      </c>
      <c r="AN22" s="3" t="str">
        <f t="shared" si="5"/>
        <v/>
      </c>
      <c r="AO22" s="3" t="str">
        <f t="shared" si="3"/>
        <v/>
      </c>
    </row>
    <row r="23" spans="2:41" x14ac:dyDescent="0.2">
      <c r="B23" s="3" t="str">
        <f t="shared" si="6"/>
        <v/>
      </c>
      <c r="C23" s="3" t="str">
        <f t="shared" si="6"/>
        <v/>
      </c>
      <c r="D23" s="3" t="str">
        <f t="shared" si="6"/>
        <v/>
      </c>
      <c r="E23" s="3" t="str">
        <f t="shared" si="6"/>
        <v/>
      </c>
      <c r="F23" s="3" t="str">
        <f t="shared" si="6"/>
        <v/>
      </c>
      <c r="G23" s="3" t="str">
        <f t="shared" si="6"/>
        <v/>
      </c>
      <c r="H23" s="3" t="str">
        <f t="shared" si="6"/>
        <v/>
      </c>
      <c r="I23" s="3" t="str">
        <f t="shared" si="6"/>
        <v/>
      </c>
      <c r="J23" s="3" t="str">
        <f t="shared" si="6"/>
        <v/>
      </c>
      <c r="K23" s="3" t="str">
        <f t="shared" si="6"/>
        <v/>
      </c>
      <c r="L23" s="3" t="str">
        <f t="shared" si="6"/>
        <v/>
      </c>
      <c r="M23" s="3" t="str">
        <f t="shared" si="6"/>
        <v/>
      </c>
      <c r="N23" s="3" t="str">
        <f t="shared" si="6"/>
        <v/>
      </c>
      <c r="O23" s="3" t="str">
        <f t="shared" si="6"/>
        <v/>
      </c>
      <c r="P23" s="3" t="str">
        <f t="shared" si="6"/>
        <v/>
      </c>
      <c r="Q23" s="3" t="str">
        <f t="shared" si="6"/>
        <v/>
      </c>
      <c r="R23" s="3" t="str">
        <f t="shared" si="8"/>
        <v/>
      </c>
      <c r="S23" s="3" t="str">
        <f t="shared" si="8"/>
        <v/>
      </c>
      <c r="T23" s="3" t="str">
        <f t="shared" si="8"/>
        <v/>
      </c>
      <c r="U23" s="3" t="str">
        <f t="shared" si="8"/>
        <v/>
      </c>
      <c r="V23" s="3" t="str">
        <f t="shared" si="5"/>
        <v/>
      </c>
      <c r="W23" s="3" t="str">
        <f t="shared" si="5"/>
        <v/>
      </c>
      <c r="X23" s="3" t="str">
        <f t="shared" si="5"/>
        <v/>
      </c>
      <c r="Y23" s="3" t="str">
        <f t="shared" si="5"/>
        <v/>
      </c>
      <c r="Z23" s="3" t="str">
        <f t="shared" si="5"/>
        <v/>
      </c>
      <c r="AA23" s="3" t="str">
        <f t="shared" si="5"/>
        <v/>
      </c>
      <c r="AB23" s="3" t="str">
        <f t="shared" si="5"/>
        <v/>
      </c>
      <c r="AC23" s="3" t="str">
        <f t="shared" si="5"/>
        <v/>
      </c>
      <c r="AD23" s="3" t="str">
        <f t="shared" si="5"/>
        <v/>
      </c>
      <c r="AE23" s="3" t="str">
        <f t="shared" si="5"/>
        <v/>
      </c>
      <c r="AF23" s="3" t="str">
        <f t="shared" si="5"/>
        <v/>
      </c>
      <c r="AG23" s="3" t="str">
        <f t="shared" si="5"/>
        <v/>
      </c>
      <c r="AH23" s="3" t="str">
        <f t="shared" si="5"/>
        <v/>
      </c>
      <c r="AI23" s="3" t="str">
        <f t="shared" si="5"/>
        <v/>
      </c>
      <c r="AJ23" s="3" t="str">
        <f t="shared" si="5"/>
        <v/>
      </c>
      <c r="AK23" s="3" t="str">
        <f t="shared" si="5"/>
        <v/>
      </c>
      <c r="AL23" s="3" t="str">
        <f t="shared" si="5"/>
        <v/>
      </c>
      <c r="AM23" s="3" t="str">
        <f t="shared" si="5"/>
        <v/>
      </c>
      <c r="AN23" s="3" t="str">
        <f t="shared" si="5"/>
        <v/>
      </c>
      <c r="AO23" s="3" t="str">
        <f t="shared" si="3"/>
        <v/>
      </c>
    </row>
    <row r="24" spans="2:41" x14ac:dyDescent="0.2">
      <c r="B24" s="3" t="str">
        <f t="shared" si="6"/>
        <v/>
      </c>
      <c r="C24" s="3" t="str">
        <f t="shared" si="6"/>
        <v/>
      </c>
      <c r="D24" s="3" t="str">
        <f t="shared" si="6"/>
        <v/>
      </c>
      <c r="E24" s="3" t="str">
        <f t="shared" si="6"/>
        <v/>
      </c>
      <c r="F24" s="3" t="str">
        <f t="shared" si="6"/>
        <v/>
      </c>
      <c r="G24" s="3" t="str">
        <f t="shared" si="6"/>
        <v/>
      </c>
      <c r="H24" s="3" t="str">
        <f t="shared" si="6"/>
        <v/>
      </c>
      <c r="I24" s="3" t="str">
        <f t="shared" si="6"/>
        <v/>
      </c>
      <c r="J24" s="3" t="str">
        <f t="shared" si="6"/>
        <v/>
      </c>
      <c r="K24" s="3" t="str">
        <f t="shared" si="6"/>
        <v/>
      </c>
      <c r="L24" s="3" t="str">
        <f t="shared" si="6"/>
        <v/>
      </c>
      <c r="M24" s="3" t="str">
        <f t="shared" si="6"/>
        <v/>
      </c>
      <c r="N24" s="3" t="str">
        <f t="shared" si="6"/>
        <v/>
      </c>
      <c r="O24" s="3" t="str">
        <f t="shared" si="6"/>
        <v/>
      </c>
      <c r="P24" s="3" t="str">
        <f t="shared" si="6"/>
        <v/>
      </c>
      <c r="Q24" s="3" t="str">
        <f t="shared" si="6"/>
        <v/>
      </c>
      <c r="R24" s="3" t="str">
        <f t="shared" si="8"/>
        <v/>
      </c>
      <c r="S24" s="3" t="str">
        <f t="shared" si="8"/>
        <v/>
      </c>
      <c r="T24" s="3" t="str">
        <f t="shared" si="8"/>
        <v/>
      </c>
      <c r="U24" s="3" t="str">
        <f t="shared" si="8"/>
        <v/>
      </c>
      <c r="V24" s="3" t="str">
        <f t="shared" si="5"/>
        <v/>
      </c>
      <c r="W24" s="3" t="str">
        <f t="shared" si="5"/>
        <v/>
      </c>
      <c r="X24" s="3" t="str">
        <f t="shared" si="5"/>
        <v/>
      </c>
      <c r="Y24" s="3" t="str">
        <f t="shared" si="5"/>
        <v/>
      </c>
      <c r="Z24" s="3" t="str">
        <f t="shared" si="5"/>
        <v/>
      </c>
      <c r="AA24" s="3" t="str">
        <f t="shared" si="5"/>
        <v/>
      </c>
      <c r="AB24" s="3" t="str">
        <f t="shared" si="5"/>
        <v/>
      </c>
      <c r="AC24" s="3" t="str">
        <f t="shared" si="5"/>
        <v/>
      </c>
      <c r="AD24" s="3" t="str">
        <f t="shared" si="5"/>
        <v/>
      </c>
      <c r="AE24" s="3" t="str">
        <f t="shared" si="5"/>
        <v/>
      </c>
      <c r="AF24" s="3" t="str">
        <f t="shared" si="5"/>
        <v/>
      </c>
      <c r="AG24" s="3" t="str">
        <f t="shared" si="5"/>
        <v/>
      </c>
      <c r="AH24" s="3" t="str">
        <f t="shared" si="5"/>
        <v/>
      </c>
      <c r="AI24" s="3" t="str">
        <f t="shared" si="5"/>
        <v/>
      </c>
      <c r="AJ24" s="3" t="str">
        <f t="shared" si="5"/>
        <v/>
      </c>
      <c r="AK24" s="3" t="str">
        <f t="shared" si="5"/>
        <v/>
      </c>
      <c r="AL24" s="3" t="str">
        <f t="shared" si="5"/>
        <v/>
      </c>
      <c r="AM24" s="3" t="str">
        <f t="shared" si="5"/>
        <v/>
      </c>
      <c r="AN24" s="3" t="str">
        <f t="shared" si="5"/>
        <v/>
      </c>
      <c r="AO24" s="3" t="str">
        <f t="shared" si="3"/>
        <v/>
      </c>
    </row>
    <row r="25" spans="2:41" x14ac:dyDescent="0.2">
      <c r="B25" s="3" t="str">
        <f t="shared" si="6"/>
        <v/>
      </c>
      <c r="C25" s="3" t="str">
        <f t="shared" si="6"/>
        <v/>
      </c>
      <c r="D25" s="3" t="str">
        <f t="shared" si="6"/>
        <v/>
      </c>
      <c r="E25" s="3" t="str">
        <f t="shared" si="6"/>
        <v/>
      </c>
      <c r="F25" s="3" t="str">
        <f t="shared" si="6"/>
        <v/>
      </c>
      <c r="G25" s="3" t="str">
        <f t="shared" si="6"/>
        <v/>
      </c>
      <c r="H25" s="3" t="str">
        <f t="shared" si="6"/>
        <v/>
      </c>
      <c r="I25" s="3" t="str">
        <f t="shared" si="6"/>
        <v/>
      </c>
      <c r="J25" s="3" t="str">
        <f t="shared" si="6"/>
        <v/>
      </c>
      <c r="K25" s="3" t="str">
        <f t="shared" si="6"/>
        <v/>
      </c>
      <c r="L25" s="3" t="str">
        <f t="shared" si="6"/>
        <v/>
      </c>
      <c r="M25" s="3" t="str">
        <f t="shared" si="6"/>
        <v/>
      </c>
      <c r="N25" s="3" t="str">
        <f t="shared" si="6"/>
        <v/>
      </c>
      <c r="O25" s="3" t="str">
        <f t="shared" si="6"/>
        <v/>
      </c>
      <c r="P25" s="3" t="str">
        <f t="shared" si="6"/>
        <v/>
      </c>
      <c r="Q25" s="3" t="str">
        <f t="shared" si="6"/>
        <v/>
      </c>
      <c r="R25" s="3" t="str">
        <f t="shared" si="8"/>
        <v/>
      </c>
      <c r="S25" s="3" t="str">
        <f t="shared" si="8"/>
        <v/>
      </c>
      <c r="T25" s="3" t="str">
        <f t="shared" si="8"/>
        <v/>
      </c>
      <c r="U25" s="3" t="str">
        <f t="shared" si="8"/>
        <v/>
      </c>
      <c r="V25" s="3" t="str">
        <f t="shared" si="5"/>
        <v/>
      </c>
      <c r="W25" s="3" t="str">
        <f t="shared" si="5"/>
        <v/>
      </c>
      <c r="X25" s="3" t="str">
        <f t="shared" si="5"/>
        <v/>
      </c>
      <c r="Y25" s="3" t="str">
        <f t="shared" si="5"/>
        <v/>
      </c>
      <c r="Z25" s="3" t="str">
        <f t="shared" si="5"/>
        <v/>
      </c>
      <c r="AA25" s="3" t="str">
        <f t="shared" si="5"/>
        <v/>
      </c>
      <c r="AB25" s="3" t="str">
        <f t="shared" si="5"/>
        <v/>
      </c>
      <c r="AC25" s="3" t="str">
        <f t="shared" si="5"/>
        <v/>
      </c>
      <c r="AD25" s="3" t="str">
        <f t="shared" si="5"/>
        <v/>
      </c>
      <c r="AE25" s="3" t="str">
        <f t="shared" si="5"/>
        <v/>
      </c>
      <c r="AF25" s="3" t="str">
        <f t="shared" si="5"/>
        <v/>
      </c>
      <c r="AG25" s="3" t="str">
        <f t="shared" si="5"/>
        <v/>
      </c>
      <c r="AH25" s="3" t="str">
        <f t="shared" si="5"/>
        <v/>
      </c>
      <c r="AI25" s="3" t="str">
        <f t="shared" si="5"/>
        <v/>
      </c>
      <c r="AJ25" s="3" t="str">
        <f t="shared" si="5"/>
        <v/>
      </c>
      <c r="AK25" s="3" t="str">
        <f t="shared" si="5"/>
        <v/>
      </c>
      <c r="AL25" s="3" t="str">
        <f t="shared" si="5"/>
        <v/>
      </c>
      <c r="AM25" s="3" t="str">
        <f t="shared" si="5"/>
        <v/>
      </c>
      <c r="AN25" s="3" t="str">
        <f t="shared" si="5"/>
        <v/>
      </c>
      <c r="AO25" s="3" t="str">
        <f t="shared" si="3"/>
        <v/>
      </c>
    </row>
    <row r="26" spans="2:41" x14ac:dyDescent="0.2">
      <c r="B26" s="3" t="str">
        <f t="shared" si="6"/>
        <v/>
      </c>
      <c r="C26" s="3" t="str">
        <f t="shared" si="6"/>
        <v/>
      </c>
      <c r="D26" s="3" t="str">
        <f t="shared" si="6"/>
        <v/>
      </c>
      <c r="E26" s="3" t="str">
        <f t="shared" si="6"/>
        <v/>
      </c>
      <c r="F26" s="3" t="str">
        <f t="shared" si="6"/>
        <v/>
      </c>
      <c r="G26" s="3" t="str">
        <f t="shared" si="6"/>
        <v/>
      </c>
      <c r="H26" s="3" t="str">
        <f t="shared" si="6"/>
        <v/>
      </c>
      <c r="I26" s="3" t="str">
        <f t="shared" si="6"/>
        <v/>
      </c>
      <c r="J26" s="3" t="str">
        <f t="shared" si="6"/>
        <v/>
      </c>
      <c r="K26" s="3" t="str">
        <f t="shared" si="6"/>
        <v/>
      </c>
      <c r="L26" s="3" t="str">
        <f t="shared" si="6"/>
        <v/>
      </c>
      <c r="M26" s="3" t="str">
        <f t="shared" si="6"/>
        <v/>
      </c>
      <c r="N26" s="3" t="str">
        <f t="shared" si="6"/>
        <v/>
      </c>
      <c r="O26" s="3" t="str">
        <f t="shared" si="6"/>
        <v/>
      </c>
      <c r="P26" s="3" t="str">
        <f t="shared" si="6"/>
        <v/>
      </c>
      <c r="Q26" s="3" t="str">
        <f t="shared" si="6"/>
        <v/>
      </c>
      <c r="R26" s="3" t="str">
        <f t="shared" si="8"/>
        <v/>
      </c>
      <c r="S26" s="3" t="str">
        <f t="shared" si="8"/>
        <v/>
      </c>
      <c r="T26" s="3" t="str">
        <f t="shared" si="8"/>
        <v/>
      </c>
      <c r="U26" s="3" t="str">
        <f t="shared" si="8"/>
        <v/>
      </c>
      <c r="V26" s="3" t="str">
        <f t="shared" si="5"/>
        <v/>
      </c>
      <c r="W26" s="3" t="str">
        <f t="shared" si="5"/>
        <v/>
      </c>
      <c r="X26" s="3" t="str">
        <f t="shared" si="5"/>
        <v/>
      </c>
      <c r="Y26" s="3" t="str">
        <f t="shared" si="5"/>
        <v/>
      </c>
      <c r="Z26" s="3" t="str">
        <f t="shared" si="5"/>
        <v/>
      </c>
      <c r="AA26" s="3" t="str">
        <f t="shared" si="5"/>
        <v/>
      </c>
      <c r="AB26" s="3" t="str">
        <f t="shared" si="5"/>
        <v/>
      </c>
      <c r="AC26" s="3" t="str">
        <f t="shared" si="5"/>
        <v/>
      </c>
      <c r="AD26" s="3" t="str">
        <f t="shared" si="5"/>
        <v/>
      </c>
      <c r="AE26" s="3" t="str">
        <f t="shared" si="5"/>
        <v/>
      </c>
      <c r="AF26" s="3" t="str">
        <f t="shared" si="5"/>
        <v/>
      </c>
      <c r="AG26" s="3" t="str">
        <f t="shared" si="5"/>
        <v/>
      </c>
      <c r="AH26" s="3" t="str">
        <f t="shared" si="5"/>
        <v/>
      </c>
      <c r="AI26" s="3" t="str">
        <f t="shared" si="5"/>
        <v/>
      </c>
      <c r="AJ26" s="3" t="str">
        <f t="shared" si="5"/>
        <v/>
      </c>
      <c r="AK26" s="3" t="str">
        <f t="shared" si="5"/>
        <v/>
      </c>
      <c r="AL26" s="3" t="str">
        <f t="shared" si="5"/>
        <v/>
      </c>
      <c r="AM26" s="3" t="str">
        <f t="shared" si="5"/>
        <v/>
      </c>
      <c r="AN26" s="3" t="str">
        <f t="shared" si="5"/>
        <v/>
      </c>
      <c r="AO26" s="3" t="str">
        <f t="shared" si="3"/>
        <v/>
      </c>
    </row>
    <row r="27" spans="2:41" x14ac:dyDescent="0.2">
      <c r="B27" s="3" t="str">
        <f t="shared" si="6"/>
        <v/>
      </c>
      <c r="C27" s="3" t="str">
        <f t="shared" si="6"/>
        <v/>
      </c>
      <c r="D27" s="3" t="str">
        <f t="shared" si="6"/>
        <v/>
      </c>
      <c r="E27" s="3" t="str">
        <f t="shared" si="6"/>
        <v/>
      </c>
      <c r="F27" s="3" t="str">
        <f t="shared" si="6"/>
        <v/>
      </c>
      <c r="G27" s="3" t="str">
        <f t="shared" si="6"/>
        <v/>
      </c>
      <c r="H27" s="3" t="str">
        <f t="shared" si="6"/>
        <v/>
      </c>
      <c r="I27" s="3" t="str">
        <f t="shared" si="6"/>
        <v/>
      </c>
      <c r="J27" s="3" t="str">
        <f t="shared" si="6"/>
        <v/>
      </c>
      <c r="K27" s="3" t="str">
        <f t="shared" si="6"/>
        <v/>
      </c>
      <c r="L27" s="3" t="str">
        <f t="shared" si="6"/>
        <v/>
      </c>
      <c r="M27" s="3" t="str">
        <f t="shared" si="6"/>
        <v/>
      </c>
      <c r="N27" s="3" t="str">
        <f t="shared" si="6"/>
        <v/>
      </c>
      <c r="O27" s="3" t="str">
        <f t="shared" si="6"/>
        <v/>
      </c>
      <c r="P27" s="3" t="str">
        <f t="shared" si="6"/>
        <v/>
      </c>
      <c r="Q27" s="3" t="str">
        <f t="shared" si="6"/>
        <v/>
      </c>
      <c r="R27" s="3" t="str">
        <f t="shared" si="8"/>
        <v/>
      </c>
      <c r="S27" s="3" t="str">
        <f t="shared" si="8"/>
        <v/>
      </c>
      <c r="T27" s="3" t="str">
        <f t="shared" si="8"/>
        <v/>
      </c>
      <c r="U27" s="3" t="str">
        <f t="shared" si="8"/>
        <v/>
      </c>
      <c r="V27" s="3" t="str">
        <f t="shared" si="5"/>
        <v/>
      </c>
      <c r="W27" s="3" t="str">
        <f t="shared" si="5"/>
        <v/>
      </c>
      <c r="X27" s="3" t="str">
        <f t="shared" si="5"/>
        <v/>
      </c>
      <c r="Y27" s="3" t="str">
        <f t="shared" si="5"/>
        <v/>
      </c>
      <c r="Z27" s="3" t="str">
        <f t="shared" si="5"/>
        <v/>
      </c>
      <c r="AA27" s="3" t="str">
        <f t="shared" si="5"/>
        <v/>
      </c>
      <c r="AB27" s="3" t="str">
        <f t="shared" si="5"/>
        <v/>
      </c>
      <c r="AC27" s="3" t="str">
        <f t="shared" si="5"/>
        <v/>
      </c>
      <c r="AD27" s="3" t="str">
        <f t="shared" si="5"/>
        <v/>
      </c>
      <c r="AE27" s="3" t="str">
        <f t="shared" si="5"/>
        <v/>
      </c>
      <c r="AF27" s="3" t="str">
        <f t="shared" si="5"/>
        <v/>
      </c>
      <c r="AG27" s="3" t="str">
        <f t="shared" si="5"/>
        <v/>
      </c>
      <c r="AH27" s="3" t="str">
        <f t="shared" si="5"/>
        <v/>
      </c>
      <c r="AI27" s="3" t="str">
        <f t="shared" si="5"/>
        <v/>
      </c>
      <c r="AJ27" s="3" t="str">
        <f t="shared" si="5"/>
        <v/>
      </c>
      <c r="AK27" s="3" t="str">
        <f t="shared" si="5"/>
        <v/>
      </c>
      <c r="AL27" s="3" t="str">
        <f t="shared" si="5"/>
        <v/>
      </c>
      <c r="AM27" s="3" t="str">
        <f t="shared" si="5"/>
        <v/>
      </c>
      <c r="AN27" s="3" t="str">
        <f t="shared" si="5"/>
        <v/>
      </c>
      <c r="AO27" s="3" t="str">
        <f t="shared" si="3"/>
        <v/>
      </c>
    </row>
    <row r="28" spans="2:41" x14ac:dyDescent="0.2">
      <c r="B28" s="3" t="str">
        <f t="shared" si="6"/>
        <v/>
      </c>
      <c r="C28" s="3" t="str">
        <f t="shared" si="6"/>
        <v/>
      </c>
      <c r="D28" s="3" t="str">
        <f t="shared" si="6"/>
        <v/>
      </c>
      <c r="E28" s="3" t="str">
        <f t="shared" si="6"/>
        <v/>
      </c>
      <c r="F28" s="3" t="str">
        <f t="shared" si="6"/>
        <v/>
      </c>
      <c r="G28" s="3" t="str">
        <f t="shared" si="6"/>
        <v/>
      </c>
      <c r="H28" s="3" t="str">
        <f t="shared" si="6"/>
        <v/>
      </c>
      <c r="I28" s="3" t="str">
        <f t="shared" si="6"/>
        <v/>
      </c>
      <c r="J28" s="3" t="str">
        <f t="shared" si="6"/>
        <v/>
      </c>
      <c r="K28" s="3" t="str">
        <f t="shared" si="6"/>
        <v/>
      </c>
      <c r="L28" s="3" t="str">
        <f t="shared" si="6"/>
        <v/>
      </c>
      <c r="M28" s="3" t="str">
        <f t="shared" si="6"/>
        <v/>
      </c>
      <c r="N28" s="3" t="str">
        <f t="shared" si="6"/>
        <v/>
      </c>
      <c r="O28" s="3" t="str">
        <f t="shared" si="6"/>
        <v/>
      </c>
      <c r="P28" s="3" t="str">
        <f t="shared" si="6"/>
        <v/>
      </c>
      <c r="Q28" s="3" t="str">
        <f t="shared" si="6"/>
        <v/>
      </c>
      <c r="R28" s="3" t="str">
        <f t="shared" si="8"/>
        <v/>
      </c>
      <c r="S28" s="3" t="str">
        <f t="shared" si="8"/>
        <v/>
      </c>
      <c r="T28" s="3" t="str">
        <f t="shared" si="8"/>
        <v/>
      </c>
      <c r="U28" s="3" t="str">
        <f t="shared" si="8"/>
        <v/>
      </c>
      <c r="V28" s="3" t="str">
        <f t="shared" si="5"/>
        <v/>
      </c>
      <c r="W28" s="3" t="str">
        <f t="shared" si="5"/>
        <v/>
      </c>
      <c r="X28" s="3" t="str">
        <f t="shared" si="5"/>
        <v/>
      </c>
      <c r="Y28" s="3" t="str">
        <f t="shared" si="5"/>
        <v/>
      </c>
      <c r="Z28" s="3" t="str">
        <f t="shared" si="5"/>
        <v/>
      </c>
      <c r="AA28" s="3" t="str">
        <f t="shared" si="5"/>
        <v/>
      </c>
      <c r="AB28" s="3" t="str">
        <f t="shared" si="5"/>
        <v/>
      </c>
      <c r="AC28" s="3" t="str">
        <f t="shared" si="5"/>
        <v/>
      </c>
      <c r="AD28" s="3" t="str">
        <f t="shared" si="5"/>
        <v/>
      </c>
      <c r="AE28" s="3" t="str">
        <f t="shared" si="5"/>
        <v/>
      </c>
      <c r="AF28" s="3" t="str">
        <f t="shared" si="5"/>
        <v/>
      </c>
      <c r="AG28" s="3" t="str">
        <f t="shared" si="5"/>
        <v/>
      </c>
      <c r="AH28" s="3" t="str">
        <f t="shared" si="5"/>
        <v/>
      </c>
      <c r="AI28" s="3" t="str">
        <f t="shared" si="5"/>
        <v/>
      </c>
      <c r="AJ28" s="3" t="str">
        <f t="shared" si="5"/>
        <v/>
      </c>
      <c r="AK28" s="3" t="str">
        <f t="shared" si="5"/>
        <v/>
      </c>
      <c r="AL28" s="3" t="str">
        <f t="shared" si="5"/>
        <v/>
      </c>
      <c r="AM28" s="3" t="str">
        <f t="shared" si="5"/>
        <v/>
      </c>
      <c r="AN28" s="3" t="str">
        <f t="shared" si="5"/>
        <v/>
      </c>
      <c r="AO28" s="3" t="str">
        <f t="shared" si="3"/>
        <v/>
      </c>
    </row>
    <row r="29" spans="2:41" x14ac:dyDescent="0.2">
      <c r="B29" s="3" t="str">
        <f t="shared" si="6"/>
        <v/>
      </c>
      <c r="C29" s="3" t="str">
        <f t="shared" si="6"/>
        <v/>
      </c>
      <c r="D29" s="3" t="str">
        <f t="shared" si="6"/>
        <v/>
      </c>
      <c r="E29" s="3" t="str">
        <f t="shared" si="6"/>
        <v/>
      </c>
      <c r="F29" s="3" t="str">
        <f t="shared" si="6"/>
        <v/>
      </c>
      <c r="G29" s="3" t="str">
        <f t="shared" si="6"/>
        <v/>
      </c>
      <c r="H29" s="3" t="str">
        <f t="shared" si="6"/>
        <v/>
      </c>
      <c r="I29" s="3" t="str">
        <f t="shared" si="6"/>
        <v/>
      </c>
      <c r="J29" s="3" t="str">
        <f t="shared" si="6"/>
        <v/>
      </c>
      <c r="K29" s="3" t="str">
        <f t="shared" si="6"/>
        <v/>
      </c>
      <c r="L29" s="3" t="str">
        <f t="shared" si="6"/>
        <v/>
      </c>
      <c r="M29" s="3" t="str">
        <f t="shared" si="6"/>
        <v/>
      </c>
      <c r="N29" s="3" t="str">
        <f t="shared" si="6"/>
        <v/>
      </c>
      <c r="O29" s="3" t="str">
        <f t="shared" si="6"/>
        <v/>
      </c>
      <c r="P29" s="3" t="str">
        <f t="shared" si="6"/>
        <v/>
      </c>
      <c r="Q29" s="3" t="str">
        <f t="shared" si="6"/>
        <v/>
      </c>
      <c r="R29" s="3" t="str">
        <f t="shared" si="8"/>
        <v/>
      </c>
      <c r="S29" s="3" t="str">
        <f t="shared" si="8"/>
        <v/>
      </c>
      <c r="T29" s="3" t="str">
        <f t="shared" si="8"/>
        <v/>
      </c>
      <c r="U29" s="3" t="str">
        <f t="shared" si="8"/>
        <v/>
      </c>
      <c r="V29" s="3" t="str">
        <f t="shared" si="5"/>
        <v/>
      </c>
      <c r="W29" s="3" t="str">
        <f t="shared" si="5"/>
        <v/>
      </c>
      <c r="X29" s="3" t="str">
        <f t="shared" si="5"/>
        <v/>
      </c>
      <c r="Y29" s="3" t="str">
        <f t="shared" si="5"/>
        <v/>
      </c>
      <c r="Z29" s="3" t="str">
        <f t="shared" si="5"/>
        <v/>
      </c>
      <c r="AA29" s="3" t="str">
        <f t="shared" si="5"/>
        <v/>
      </c>
      <c r="AB29" s="3" t="str">
        <f t="shared" si="5"/>
        <v/>
      </c>
      <c r="AC29" s="3" t="str">
        <f t="shared" si="5"/>
        <v/>
      </c>
      <c r="AD29" s="3" t="str">
        <f t="shared" si="5"/>
        <v/>
      </c>
      <c r="AE29" s="3" t="str">
        <f t="shared" si="5"/>
        <v/>
      </c>
      <c r="AF29" s="3" t="str">
        <f t="shared" si="5"/>
        <v/>
      </c>
      <c r="AG29" s="3" t="str">
        <f t="shared" si="5"/>
        <v/>
      </c>
      <c r="AH29" s="3" t="str">
        <f t="shared" si="5"/>
        <v/>
      </c>
      <c r="AI29" s="3" t="str">
        <f t="shared" si="5"/>
        <v/>
      </c>
      <c r="AJ29" s="3" t="str">
        <f t="shared" si="5"/>
        <v/>
      </c>
      <c r="AK29" s="3" t="str">
        <f t="shared" si="5"/>
        <v/>
      </c>
      <c r="AL29" s="3" t="str">
        <f t="shared" si="5"/>
        <v/>
      </c>
      <c r="AM29" s="3" t="str">
        <f t="shared" si="5"/>
        <v/>
      </c>
      <c r="AN29" s="3" t="str">
        <f t="shared" si="5"/>
        <v/>
      </c>
      <c r="AO29" s="3" t="str">
        <f t="shared" si="3"/>
        <v/>
      </c>
    </row>
    <row r="30" spans="2:41" x14ac:dyDescent="0.2">
      <c r="B30" s="3" t="str">
        <f t="shared" si="6"/>
        <v/>
      </c>
      <c r="C30" s="3" t="str">
        <f t="shared" si="6"/>
        <v/>
      </c>
      <c r="D30" s="3" t="str">
        <f t="shared" si="6"/>
        <v/>
      </c>
      <c r="E30" s="3" t="str">
        <f t="shared" si="6"/>
        <v/>
      </c>
      <c r="F30" s="3" t="str">
        <f t="shared" si="6"/>
        <v/>
      </c>
      <c r="G30" s="3" t="str">
        <f t="shared" si="6"/>
        <v/>
      </c>
      <c r="H30" s="3" t="str">
        <f t="shared" si="6"/>
        <v/>
      </c>
      <c r="I30" s="3" t="str">
        <f t="shared" si="6"/>
        <v/>
      </c>
      <c r="J30" s="3" t="str">
        <f t="shared" si="6"/>
        <v/>
      </c>
      <c r="K30" s="3" t="str">
        <f t="shared" si="6"/>
        <v/>
      </c>
      <c r="L30" s="3" t="str">
        <f t="shared" si="6"/>
        <v/>
      </c>
      <c r="M30" s="3" t="str">
        <f t="shared" si="6"/>
        <v/>
      </c>
      <c r="N30" s="3" t="str">
        <f t="shared" si="6"/>
        <v/>
      </c>
      <c r="O30" s="3" t="str">
        <f t="shared" si="6"/>
        <v/>
      </c>
      <c r="P30" s="3" t="str">
        <f t="shared" si="6"/>
        <v/>
      </c>
      <c r="Q30" s="3" t="str">
        <f t="shared" si="6"/>
        <v/>
      </c>
      <c r="R30" s="3" t="str">
        <f t="shared" si="8"/>
        <v/>
      </c>
      <c r="S30" s="3" t="str">
        <f t="shared" si="8"/>
        <v/>
      </c>
      <c r="T30" s="3" t="str">
        <f t="shared" si="8"/>
        <v/>
      </c>
      <c r="U30" s="3" t="str">
        <f t="shared" si="8"/>
        <v/>
      </c>
      <c r="V30" s="3" t="str">
        <f t="shared" si="5"/>
        <v/>
      </c>
      <c r="W30" s="3" t="str">
        <f t="shared" si="5"/>
        <v/>
      </c>
      <c r="X30" s="3" t="str">
        <f t="shared" si="5"/>
        <v/>
      </c>
      <c r="Y30" s="3" t="str">
        <f t="shared" si="5"/>
        <v/>
      </c>
      <c r="Z30" s="3" t="str">
        <f t="shared" si="5"/>
        <v/>
      </c>
      <c r="AA30" s="3" t="str">
        <f t="shared" si="5"/>
        <v/>
      </c>
      <c r="AB30" s="3" t="str">
        <f t="shared" si="5"/>
        <v/>
      </c>
      <c r="AC30" s="3" t="str">
        <f t="shared" si="5"/>
        <v/>
      </c>
      <c r="AD30" s="3" t="str">
        <f t="shared" si="5"/>
        <v/>
      </c>
      <c r="AE30" s="3" t="str">
        <f t="shared" si="5"/>
        <v/>
      </c>
      <c r="AF30" s="3" t="str">
        <f t="shared" si="5"/>
        <v/>
      </c>
      <c r="AG30" s="3" t="str">
        <f t="shared" si="5"/>
        <v/>
      </c>
      <c r="AH30" s="3" t="str">
        <f t="shared" si="5"/>
        <v/>
      </c>
      <c r="AI30" s="3" t="str">
        <f t="shared" si="5"/>
        <v/>
      </c>
      <c r="AJ30" s="3" t="str">
        <f t="shared" si="5"/>
        <v/>
      </c>
      <c r="AK30" s="3" t="str">
        <f t="shared" si="5"/>
        <v/>
      </c>
      <c r="AL30" s="3" t="str">
        <f t="shared" si="5"/>
        <v/>
      </c>
      <c r="AM30" s="3" t="str">
        <f t="shared" si="5"/>
        <v/>
      </c>
      <c r="AN30" s="3" t="str">
        <f t="shared" si="5"/>
        <v/>
      </c>
      <c r="AO30" s="3" t="str">
        <f t="shared" si="3"/>
        <v/>
      </c>
    </row>
    <row r="31" spans="2:41" x14ac:dyDescent="0.2">
      <c r="B31" s="3" t="str">
        <f t="shared" si="6"/>
        <v/>
      </c>
      <c r="C31" s="3" t="str">
        <f t="shared" si="6"/>
        <v/>
      </c>
      <c r="D31" s="3" t="str">
        <f t="shared" si="6"/>
        <v/>
      </c>
      <c r="E31" s="3" t="str">
        <f t="shared" si="6"/>
        <v/>
      </c>
      <c r="F31" s="3" t="str">
        <f t="shared" si="6"/>
        <v/>
      </c>
      <c r="G31" s="3" t="str">
        <f t="shared" si="6"/>
        <v/>
      </c>
      <c r="H31" s="3" t="str">
        <f t="shared" si="6"/>
        <v/>
      </c>
      <c r="I31" s="3" t="str">
        <f t="shared" si="6"/>
        <v/>
      </c>
      <c r="J31" s="3" t="str">
        <f t="shared" si="6"/>
        <v/>
      </c>
      <c r="K31" s="3" t="str">
        <f t="shared" si="6"/>
        <v/>
      </c>
      <c r="L31" s="3" t="str">
        <f t="shared" si="6"/>
        <v/>
      </c>
      <c r="M31" s="3" t="str">
        <f t="shared" si="6"/>
        <v/>
      </c>
      <c r="N31" s="3" t="str">
        <f t="shared" si="6"/>
        <v/>
      </c>
      <c r="O31" s="3" t="str">
        <f t="shared" si="6"/>
        <v/>
      </c>
      <c r="P31" s="3" t="str">
        <f t="shared" si="6"/>
        <v/>
      </c>
      <c r="Q31" s="3" t="str">
        <f t="shared" si="6"/>
        <v/>
      </c>
      <c r="R31" s="3" t="str">
        <f t="shared" si="8"/>
        <v/>
      </c>
      <c r="S31" s="3" t="str">
        <f t="shared" si="8"/>
        <v/>
      </c>
      <c r="T31" s="3" t="str">
        <f t="shared" si="8"/>
        <v/>
      </c>
      <c r="U31" s="3" t="str">
        <f t="shared" si="8"/>
        <v/>
      </c>
      <c r="V31" s="3" t="str">
        <f t="shared" si="5"/>
        <v/>
      </c>
      <c r="W31" s="3" t="str">
        <f t="shared" si="5"/>
        <v/>
      </c>
      <c r="X31" s="3" t="str">
        <f t="shared" ref="V31:AO42" si="9">resultado</f>
        <v/>
      </c>
      <c r="Y31" s="3" t="str">
        <f t="shared" si="9"/>
        <v/>
      </c>
      <c r="Z31" s="3" t="str">
        <f t="shared" si="9"/>
        <v/>
      </c>
      <c r="AA31" s="3" t="str">
        <f t="shared" si="9"/>
        <v/>
      </c>
      <c r="AB31" s="3" t="str">
        <f t="shared" si="9"/>
        <v/>
      </c>
      <c r="AC31" s="3" t="str">
        <f t="shared" si="9"/>
        <v/>
      </c>
      <c r="AD31" s="3" t="str">
        <f t="shared" si="9"/>
        <v/>
      </c>
      <c r="AE31" s="3" t="str">
        <f t="shared" si="9"/>
        <v/>
      </c>
      <c r="AF31" s="3" t="str">
        <f t="shared" si="9"/>
        <v/>
      </c>
      <c r="AG31" s="3" t="str">
        <f t="shared" si="9"/>
        <v/>
      </c>
      <c r="AH31" s="3" t="str">
        <f t="shared" si="9"/>
        <v/>
      </c>
      <c r="AI31" s="3" t="str">
        <f t="shared" si="9"/>
        <v/>
      </c>
      <c r="AJ31" s="3" t="str">
        <f t="shared" si="9"/>
        <v/>
      </c>
      <c r="AK31" s="3" t="str">
        <f t="shared" si="9"/>
        <v/>
      </c>
      <c r="AL31" s="3" t="str">
        <f t="shared" si="9"/>
        <v/>
      </c>
      <c r="AM31" s="3" t="str">
        <f t="shared" si="9"/>
        <v/>
      </c>
      <c r="AN31" s="3" t="str">
        <f t="shared" si="9"/>
        <v/>
      </c>
      <c r="AO31" s="3" t="str">
        <f t="shared" si="9"/>
        <v/>
      </c>
    </row>
    <row r="32" spans="2:41" x14ac:dyDescent="0.2">
      <c r="B32" s="3" t="str">
        <f t="shared" si="6"/>
        <v/>
      </c>
      <c r="C32" s="3" t="str">
        <f t="shared" si="6"/>
        <v/>
      </c>
      <c r="D32" s="3" t="str">
        <f t="shared" si="6"/>
        <v/>
      </c>
      <c r="E32" s="3" t="str">
        <f t="shared" si="6"/>
        <v/>
      </c>
      <c r="F32" s="3" t="str">
        <f t="shared" si="6"/>
        <v/>
      </c>
      <c r="G32" s="3" t="str">
        <f t="shared" si="6"/>
        <v/>
      </c>
      <c r="H32" s="3" t="str">
        <f t="shared" si="6"/>
        <v/>
      </c>
      <c r="I32" s="3" t="str">
        <f t="shared" si="6"/>
        <v/>
      </c>
      <c r="J32" s="3" t="str">
        <f t="shared" si="6"/>
        <v/>
      </c>
      <c r="K32" s="3" t="str">
        <f t="shared" si="6"/>
        <v/>
      </c>
      <c r="L32" s="3" t="str">
        <f t="shared" si="6"/>
        <v/>
      </c>
      <c r="M32" s="3" t="str">
        <f t="shared" si="6"/>
        <v/>
      </c>
      <c r="N32" s="3" t="str">
        <f t="shared" si="6"/>
        <v/>
      </c>
      <c r="O32" s="3" t="str">
        <f t="shared" si="6"/>
        <v/>
      </c>
      <c r="P32" s="3" t="str">
        <f t="shared" si="6"/>
        <v/>
      </c>
      <c r="Q32" s="3" t="str">
        <f t="shared" si="6"/>
        <v/>
      </c>
      <c r="R32" s="3" t="str">
        <f t="shared" si="8"/>
        <v/>
      </c>
      <c r="S32" s="3" t="str">
        <f t="shared" si="8"/>
        <v/>
      </c>
      <c r="T32" s="3" t="str">
        <f t="shared" si="8"/>
        <v/>
      </c>
      <c r="U32" s="3" t="str">
        <f t="shared" si="8"/>
        <v/>
      </c>
      <c r="V32" s="3" t="str">
        <f t="shared" si="9"/>
        <v/>
      </c>
      <c r="W32" s="3" t="str">
        <f t="shared" si="9"/>
        <v/>
      </c>
      <c r="X32" s="3" t="str">
        <f t="shared" si="9"/>
        <v/>
      </c>
      <c r="Y32" s="3" t="str">
        <f t="shared" si="9"/>
        <v/>
      </c>
      <c r="Z32" s="3" t="str">
        <f t="shared" si="9"/>
        <v/>
      </c>
      <c r="AA32" s="3" t="str">
        <f t="shared" si="9"/>
        <v/>
      </c>
      <c r="AB32" s="3" t="str">
        <f t="shared" si="9"/>
        <v/>
      </c>
      <c r="AC32" s="3" t="str">
        <f t="shared" si="9"/>
        <v/>
      </c>
      <c r="AD32" s="3" t="str">
        <f t="shared" si="9"/>
        <v/>
      </c>
      <c r="AE32" s="3" t="str">
        <f t="shared" si="9"/>
        <v/>
      </c>
      <c r="AF32" s="3" t="str">
        <f t="shared" si="9"/>
        <v/>
      </c>
      <c r="AG32" s="3" t="str">
        <f t="shared" si="9"/>
        <v/>
      </c>
      <c r="AH32" s="3" t="str">
        <f t="shared" si="9"/>
        <v/>
      </c>
      <c r="AI32" s="3" t="str">
        <f t="shared" si="9"/>
        <v/>
      </c>
      <c r="AJ32" s="3" t="str">
        <f t="shared" si="9"/>
        <v/>
      </c>
      <c r="AK32" s="3" t="str">
        <f t="shared" si="9"/>
        <v/>
      </c>
      <c r="AL32" s="3" t="str">
        <f t="shared" si="9"/>
        <v/>
      </c>
      <c r="AM32" s="3" t="str">
        <f t="shared" si="9"/>
        <v/>
      </c>
      <c r="AN32" s="3" t="str">
        <f t="shared" si="9"/>
        <v/>
      </c>
      <c r="AO32" s="3" t="str">
        <f t="shared" si="9"/>
        <v/>
      </c>
    </row>
    <row r="33" spans="2:41" x14ac:dyDescent="0.2">
      <c r="B33" s="3" t="str">
        <f t="shared" si="6"/>
        <v/>
      </c>
      <c r="C33" s="3" t="str">
        <f t="shared" si="6"/>
        <v/>
      </c>
      <c r="D33" s="3" t="str">
        <f t="shared" si="6"/>
        <v/>
      </c>
      <c r="E33" s="3" t="str">
        <f t="shared" si="6"/>
        <v/>
      </c>
      <c r="F33" s="3" t="str">
        <f t="shared" si="6"/>
        <v/>
      </c>
      <c r="G33" s="3" t="str">
        <f t="shared" si="6"/>
        <v/>
      </c>
      <c r="H33" s="3" t="str">
        <f t="shared" si="6"/>
        <v/>
      </c>
      <c r="I33" s="3" t="str">
        <f t="shared" si="6"/>
        <v/>
      </c>
      <c r="J33" s="3" t="str">
        <f t="shared" si="6"/>
        <v/>
      </c>
      <c r="K33" s="3" t="str">
        <f t="shared" si="6"/>
        <v/>
      </c>
      <c r="L33" s="3" t="str">
        <f t="shared" si="6"/>
        <v/>
      </c>
      <c r="M33" s="3" t="str">
        <f t="shared" si="6"/>
        <v/>
      </c>
      <c r="N33" s="3" t="str">
        <f t="shared" si="6"/>
        <v/>
      </c>
      <c r="O33" s="3" t="str">
        <f t="shared" si="6"/>
        <v/>
      </c>
      <c r="P33" s="3" t="str">
        <f t="shared" si="6"/>
        <v/>
      </c>
      <c r="Q33" s="3" t="str">
        <f t="shared" si="6"/>
        <v/>
      </c>
      <c r="R33" s="3" t="str">
        <f t="shared" si="8"/>
        <v/>
      </c>
      <c r="S33" s="3" t="str">
        <f t="shared" si="8"/>
        <v/>
      </c>
      <c r="T33" s="3" t="str">
        <f t="shared" si="8"/>
        <v/>
      </c>
      <c r="U33" s="3" t="str">
        <f t="shared" si="8"/>
        <v/>
      </c>
      <c r="V33" s="3" t="str">
        <f t="shared" si="9"/>
        <v/>
      </c>
      <c r="W33" s="3" t="str">
        <f t="shared" si="9"/>
        <v/>
      </c>
      <c r="X33" s="3" t="str">
        <f t="shared" si="9"/>
        <v/>
      </c>
      <c r="Y33" s="3" t="str">
        <f t="shared" si="9"/>
        <v/>
      </c>
      <c r="Z33" s="3" t="str">
        <f t="shared" si="9"/>
        <v/>
      </c>
      <c r="AA33" s="3" t="str">
        <f t="shared" si="9"/>
        <v/>
      </c>
      <c r="AB33" s="3" t="str">
        <f t="shared" si="9"/>
        <v/>
      </c>
      <c r="AC33" s="3" t="str">
        <f t="shared" si="9"/>
        <v/>
      </c>
      <c r="AD33" s="3" t="str">
        <f t="shared" si="9"/>
        <v/>
      </c>
      <c r="AE33" s="3" t="str">
        <f t="shared" si="9"/>
        <v/>
      </c>
      <c r="AF33" s="3" t="str">
        <f t="shared" si="9"/>
        <v/>
      </c>
      <c r="AG33" s="3" t="str">
        <f t="shared" si="9"/>
        <v/>
      </c>
      <c r="AH33" s="3" t="str">
        <f t="shared" si="9"/>
        <v/>
      </c>
      <c r="AI33" s="3" t="str">
        <f t="shared" si="9"/>
        <v/>
      </c>
      <c r="AJ33" s="3" t="str">
        <f t="shared" si="9"/>
        <v/>
      </c>
      <c r="AK33" s="3" t="str">
        <f t="shared" si="9"/>
        <v/>
      </c>
      <c r="AL33" s="3" t="str">
        <f t="shared" si="9"/>
        <v/>
      </c>
      <c r="AM33" s="3" t="str">
        <f t="shared" si="9"/>
        <v/>
      </c>
      <c r="AN33" s="3" t="str">
        <f t="shared" si="9"/>
        <v/>
      </c>
      <c r="AO33" s="3" t="str">
        <f t="shared" si="9"/>
        <v/>
      </c>
    </row>
    <row r="34" spans="2:41" x14ac:dyDescent="0.2">
      <c r="B34" s="3" t="str">
        <f t="shared" si="6"/>
        <v/>
      </c>
      <c r="C34" s="3" t="str">
        <f t="shared" si="6"/>
        <v/>
      </c>
      <c r="D34" s="3" t="str">
        <f t="shared" si="6"/>
        <v/>
      </c>
      <c r="E34" s="3" t="str">
        <f t="shared" si="6"/>
        <v/>
      </c>
      <c r="F34" s="3" t="str">
        <f t="shared" si="6"/>
        <v/>
      </c>
      <c r="G34" s="3" t="str">
        <f t="shared" si="6"/>
        <v/>
      </c>
      <c r="H34" s="3" t="str">
        <f t="shared" si="6"/>
        <v/>
      </c>
      <c r="I34" s="3" t="str">
        <f t="shared" si="6"/>
        <v/>
      </c>
      <c r="J34" s="3" t="str">
        <f t="shared" si="6"/>
        <v/>
      </c>
      <c r="K34" s="3" t="str">
        <f t="shared" si="6"/>
        <v/>
      </c>
      <c r="L34" s="3" t="str">
        <f t="shared" si="6"/>
        <v/>
      </c>
      <c r="M34" s="3" t="str">
        <f t="shared" si="6"/>
        <v/>
      </c>
      <c r="N34" s="3" t="str">
        <f t="shared" si="6"/>
        <v/>
      </c>
      <c r="O34" s="3" t="str">
        <f t="shared" si="6"/>
        <v/>
      </c>
      <c r="P34" s="3" t="str">
        <f t="shared" ref="B34:Q42" si="10">resultado</f>
        <v/>
      </c>
      <c r="Q34" s="3" t="str">
        <f t="shared" si="10"/>
        <v/>
      </c>
      <c r="R34" s="3" t="str">
        <f t="shared" si="8"/>
        <v/>
      </c>
      <c r="S34" s="3" t="str">
        <f t="shared" si="8"/>
        <v/>
      </c>
      <c r="T34" s="3" t="str">
        <f t="shared" si="8"/>
        <v/>
      </c>
      <c r="U34" s="3" t="str">
        <f t="shared" si="8"/>
        <v/>
      </c>
      <c r="V34" s="3" t="str">
        <f t="shared" si="9"/>
        <v/>
      </c>
      <c r="W34" s="3" t="str">
        <f t="shared" si="9"/>
        <v/>
      </c>
      <c r="X34" s="3" t="str">
        <f t="shared" si="9"/>
        <v/>
      </c>
      <c r="Y34" s="3" t="str">
        <f t="shared" si="9"/>
        <v/>
      </c>
      <c r="Z34" s="3" t="str">
        <f t="shared" si="9"/>
        <v/>
      </c>
      <c r="AA34" s="3" t="str">
        <f t="shared" si="9"/>
        <v/>
      </c>
      <c r="AB34" s="3" t="str">
        <f t="shared" si="9"/>
        <v/>
      </c>
      <c r="AC34" s="3" t="str">
        <f t="shared" si="9"/>
        <v/>
      </c>
      <c r="AD34" s="3" t="str">
        <f t="shared" si="9"/>
        <v/>
      </c>
      <c r="AE34" s="3" t="str">
        <f t="shared" si="9"/>
        <v/>
      </c>
      <c r="AF34" s="3" t="str">
        <f t="shared" si="9"/>
        <v/>
      </c>
      <c r="AG34" s="3" t="str">
        <f t="shared" si="9"/>
        <v/>
      </c>
      <c r="AH34" s="3" t="str">
        <f t="shared" si="9"/>
        <v/>
      </c>
      <c r="AI34" s="3" t="str">
        <f t="shared" si="9"/>
        <v/>
      </c>
      <c r="AJ34" s="3" t="str">
        <f t="shared" si="9"/>
        <v/>
      </c>
      <c r="AK34" s="3" t="str">
        <f t="shared" si="9"/>
        <v/>
      </c>
      <c r="AL34" s="3" t="str">
        <f t="shared" si="9"/>
        <v/>
      </c>
      <c r="AM34" s="3" t="str">
        <f t="shared" si="9"/>
        <v/>
      </c>
      <c r="AN34" s="3" t="str">
        <f t="shared" si="9"/>
        <v/>
      </c>
      <c r="AO34" s="3" t="str">
        <f t="shared" si="9"/>
        <v/>
      </c>
    </row>
    <row r="35" spans="2:41" x14ac:dyDescent="0.2">
      <c r="B35" s="3" t="str">
        <f t="shared" si="10"/>
        <v/>
      </c>
      <c r="C35" s="3" t="str">
        <f t="shared" si="10"/>
        <v/>
      </c>
      <c r="D35" s="3" t="str">
        <f t="shared" si="10"/>
        <v/>
      </c>
      <c r="E35" s="3" t="str">
        <f t="shared" si="10"/>
        <v/>
      </c>
      <c r="F35" s="3" t="str">
        <f t="shared" si="10"/>
        <v/>
      </c>
      <c r="G35" s="3" t="str">
        <f t="shared" si="10"/>
        <v/>
      </c>
      <c r="H35" s="3" t="str">
        <f t="shared" si="10"/>
        <v/>
      </c>
      <c r="I35" s="3" t="str">
        <f t="shared" si="10"/>
        <v/>
      </c>
      <c r="J35" s="3" t="str">
        <f t="shared" si="10"/>
        <v/>
      </c>
      <c r="K35" s="3" t="str">
        <f t="shared" si="10"/>
        <v/>
      </c>
      <c r="L35" s="3" t="str">
        <f t="shared" si="10"/>
        <v/>
      </c>
      <c r="M35" s="3" t="str">
        <f t="shared" si="10"/>
        <v/>
      </c>
      <c r="N35" s="3" t="str">
        <f t="shared" si="10"/>
        <v/>
      </c>
      <c r="O35" s="3" t="str">
        <f t="shared" si="10"/>
        <v/>
      </c>
      <c r="P35" s="3" t="str">
        <f t="shared" si="10"/>
        <v/>
      </c>
      <c r="Q35" s="3" t="str">
        <f t="shared" si="10"/>
        <v/>
      </c>
      <c r="R35" s="3" t="str">
        <f t="shared" si="8"/>
        <v/>
      </c>
      <c r="S35" s="3" t="str">
        <f t="shared" si="8"/>
        <v/>
      </c>
      <c r="T35" s="3" t="str">
        <f t="shared" si="8"/>
        <v/>
      </c>
      <c r="U35" s="3" t="str">
        <f t="shared" si="8"/>
        <v/>
      </c>
      <c r="V35" s="3" t="str">
        <f t="shared" ref="V35:AG35" si="11">resultado</f>
        <v/>
      </c>
      <c r="W35" s="3" t="str">
        <f t="shared" si="11"/>
        <v/>
      </c>
      <c r="X35" s="3" t="str">
        <f t="shared" si="11"/>
        <v/>
      </c>
      <c r="Y35" s="3" t="str">
        <f t="shared" si="11"/>
        <v/>
      </c>
      <c r="Z35" s="3" t="str">
        <f t="shared" si="11"/>
        <v/>
      </c>
      <c r="AA35" s="3" t="str">
        <f t="shared" si="11"/>
        <v/>
      </c>
      <c r="AB35" s="3" t="str">
        <f t="shared" si="11"/>
        <v/>
      </c>
      <c r="AC35" s="3" t="str">
        <f t="shared" si="11"/>
        <v/>
      </c>
      <c r="AD35" s="3" t="str">
        <f t="shared" si="11"/>
        <v/>
      </c>
      <c r="AE35" s="3" t="str">
        <f t="shared" si="11"/>
        <v/>
      </c>
      <c r="AF35" s="3" t="str">
        <f t="shared" si="11"/>
        <v/>
      </c>
      <c r="AG35" s="3" t="str">
        <f t="shared" si="11"/>
        <v/>
      </c>
      <c r="AH35" s="3" t="str">
        <f t="shared" si="9"/>
        <v/>
      </c>
      <c r="AI35" s="3" t="str">
        <f t="shared" si="9"/>
        <v/>
      </c>
      <c r="AJ35" s="3" t="str">
        <f t="shared" si="9"/>
        <v/>
      </c>
      <c r="AK35" s="3" t="str">
        <f t="shared" si="9"/>
        <v/>
      </c>
      <c r="AL35" s="3" t="str">
        <f t="shared" si="9"/>
        <v/>
      </c>
      <c r="AM35" s="3" t="str">
        <f t="shared" si="9"/>
        <v/>
      </c>
      <c r="AN35" s="3" t="str">
        <f t="shared" si="9"/>
        <v/>
      </c>
      <c r="AO35" s="3" t="str">
        <f t="shared" si="9"/>
        <v/>
      </c>
    </row>
    <row r="36" spans="2:41" x14ac:dyDescent="0.2">
      <c r="B36" s="3" t="str">
        <f t="shared" si="10"/>
        <v/>
      </c>
      <c r="C36" s="3" t="str">
        <f t="shared" si="10"/>
        <v/>
      </c>
      <c r="D36" s="3" t="str">
        <f t="shared" si="10"/>
        <v/>
      </c>
      <c r="E36" s="3" t="str">
        <f t="shared" si="10"/>
        <v/>
      </c>
      <c r="F36" s="3" t="str">
        <f t="shared" si="10"/>
        <v/>
      </c>
      <c r="G36" s="3" t="str">
        <f t="shared" si="10"/>
        <v/>
      </c>
      <c r="H36" s="3" t="str">
        <f t="shared" si="10"/>
        <v/>
      </c>
      <c r="I36" s="3" t="str">
        <f t="shared" si="10"/>
        <v/>
      </c>
      <c r="J36" s="3" t="str">
        <f t="shared" si="10"/>
        <v/>
      </c>
      <c r="K36" s="3" t="str">
        <f t="shared" si="10"/>
        <v/>
      </c>
      <c r="L36" s="3" t="str">
        <f t="shared" si="10"/>
        <v/>
      </c>
      <c r="M36" s="3" t="str">
        <f t="shared" si="10"/>
        <v/>
      </c>
      <c r="N36" s="3" t="str">
        <f t="shared" si="10"/>
        <v/>
      </c>
      <c r="O36" s="3" t="str">
        <f t="shared" si="10"/>
        <v/>
      </c>
      <c r="P36" s="3" t="str">
        <f t="shared" si="10"/>
        <v/>
      </c>
      <c r="Q36" s="3" t="str">
        <f t="shared" si="10"/>
        <v/>
      </c>
      <c r="R36" s="3" t="str">
        <f t="shared" si="8"/>
        <v/>
      </c>
      <c r="S36" s="3" t="str">
        <f t="shared" si="8"/>
        <v/>
      </c>
      <c r="T36" s="3" t="str">
        <f t="shared" si="8"/>
        <v/>
      </c>
      <c r="U36" s="3" t="str">
        <f t="shared" si="8"/>
        <v/>
      </c>
      <c r="V36" s="3" t="str">
        <f t="shared" si="9"/>
        <v/>
      </c>
      <c r="W36" s="3" t="str">
        <f t="shared" si="9"/>
        <v/>
      </c>
      <c r="X36" s="3" t="str">
        <f t="shared" si="9"/>
        <v/>
      </c>
      <c r="Y36" s="3" t="str">
        <f t="shared" si="9"/>
        <v/>
      </c>
      <c r="Z36" s="3" t="str">
        <f t="shared" si="9"/>
        <v/>
      </c>
      <c r="AA36" s="3" t="str">
        <f t="shared" si="9"/>
        <v/>
      </c>
      <c r="AB36" s="3" t="str">
        <f t="shared" si="9"/>
        <v/>
      </c>
      <c r="AC36" s="3" t="str">
        <f t="shared" si="9"/>
        <v/>
      </c>
      <c r="AD36" s="3" t="str">
        <f t="shared" si="9"/>
        <v/>
      </c>
      <c r="AE36" s="3" t="str">
        <f t="shared" si="9"/>
        <v/>
      </c>
      <c r="AF36" s="3" t="str">
        <f t="shared" si="9"/>
        <v/>
      </c>
      <c r="AG36" s="3" t="str">
        <f t="shared" si="9"/>
        <v/>
      </c>
      <c r="AH36" s="3" t="str">
        <f t="shared" si="9"/>
        <v/>
      </c>
      <c r="AI36" s="3" t="str">
        <f t="shared" si="9"/>
        <v/>
      </c>
      <c r="AJ36" s="3" t="str">
        <f t="shared" si="9"/>
        <v/>
      </c>
      <c r="AK36" s="3" t="str">
        <f t="shared" si="9"/>
        <v/>
      </c>
      <c r="AL36" s="3" t="str">
        <f t="shared" si="9"/>
        <v/>
      </c>
      <c r="AM36" s="3" t="str">
        <f t="shared" si="9"/>
        <v/>
      </c>
      <c r="AN36" s="3" t="str">
        <f t="shared" si="9"/>
        <v/>
      </c>
      <c r="AO36" s="3" t="str">
        <f t="shared" si="9"/>
        <v/>
      </c>
    </row>
    <row r="37" spans="2:41" x14ac:dyDescent="0.2">
      <c r="B37" s="3" t="str">
        <f t="shared" si="10"/>
        <v/>
      </c>
      <c r="C37" s="3" t="str">
        <f t="shared" si="10"/>
        <v/>
      </c>
      <c r="D37" s="3" t="str">
        <f t="shared" si="10"/>
        <v/>
      </c>
      <c r="E37" s="3" t="str">
        <f t="shared" si="10"/>
        <v/>
      </c>
      <c r="F37" s="3" t="str">
        <f t="shared" si="10"/>
        <v/>
      </c>
      <c r="G37" s="3" t="str">
        <f t="shared" si="10"/>
        <v/>
      </c>
      <c r="H37" s="3" t="str">
        <f t="shared" si="10"/>
        <v/>
      </c>
      <c r="I37" s="3" t="str">
        <f t="shared" si="10"/>
        <v/>
      </c>
      <c r="J37" s="3" t="str">
        <f t="shared" si="10"/>
        <v/>
      </c>
      <c r="K37" s="3" t="str">
        <f t="shared" si="10"/>
        <v/>
      </c>
      <c r="L37" s="3" t="str">
        <f t="shared" si="10"/>
        <v/>
      </c>
      <c r="M37" s="3" t="str">
        <f t="shared" si="10"/>
        <v/>
      </c>
      <c r="N37" s="3" t="str">
        <f t="shared" si="10"/>
        <v/>
      </c>
      <c r="O37" s="3" t="str">
        <f t="shared" si="10"/>
        <v/>
      </c>
      <c r="P37" s="3" t="str">
        <f t="shared" si="10"/>
        <v/>
      </c>
      <c r="Q37" s="3" t="str">
        <f t="shared" si="10"/>
        <v/>
      </c>
      <c r="R37" s="3" t="str">
        <f t="shared" si="8"/>
        <v/>
      </c>
      <c r="S37" s="3" t="str">
        <f t="shared" si="8"/>
        <v/>
      </c>
      <c r="T37" s="3" t="str">
        <f t="shared" si="8"/>
        <v/>
      </c>
      <c r="U37" s="3" t="str">
        <f t="shared" si="8"/>
        <v/>
      </c>
      <c r="V37" s="3" t="str">
        <f t="shared" si="9"/>
        <v/>
      </c>
      <c r="W37" s="3" t="str">
        <f t="shared" si="9"/>
        <v/>
      </c>
      <c r="X37" s="3" t="str">
        <f t="shared" si="9"/>
        <v/>
      </c>
      <c r="Y37" s="3" t="str">
        <f t="shared" si="9"/>
        <v/>
      </c>
      <c r="Z37" s="3" t="str">
        <f t="shared" si="9"/>
        <v/>
      </c>
      <c r="AA37" s="3" t="str">
        <f t="shared" si="9"/>
        <v/>
      </c>
      <c r="AB37" s="3" t="str">
        <f t="shared" si="9"/>
        <v/>
      </c>
      <c r="AC37" s="3" t="str">
        <f t="shared" si="9"/>
        <v/>
      </c>
      <c r="AD37" s="3" t="str">
        <f t="shared" si="9"/>
        <v/>
      </c>
      <c r="AE37" s="3" t="str">
        <f t="shared" si="9"/>
        <v/>
      </c>
      <c r="AF37" s="3" t="str">
        <f t="shared" si="9"/>
        <v/>
      </c>
      <c r="AG37" s="3" t="str">
        <f t="shared" si="9"/>
        <v/>
      </c>
      <c r="AH37" s="3" t="str">
        <f t="shared" si="9"/>
        <v/>
      </c>
      <c r="AI37" s="3" t="str">
        <f t="shared" si="9"/>
        <v/>
      </c>
      <c r="AJ37" s="3" t="str">
        <f t="shared" si="9"/>
        <v/>
      </c>
      <c r="AK37" s="3" t="str">
        <f t="shared" si="9"/>
        <v/>
      </c>
      <c r="AL37" s="3" t="str">
        <f t="shared" si="9"/>
        <v/>
      </c>
      <c r="AM37" s="3" t="str">
        <f t="shared" si="9"/>
        <v/>
      </c>
      <c r="AN37" s="3" t="str">
        <f t="shared" si="9"/>
        <v/>
      </c>
      <c r="AO37" s="3" t="str">
        <f t="shared" si="9"/>
        <v/>
      </c>
    </row>
    <row r="38" spans="2:41" x14ac:dyDescent="0.2">
      <c r="B38" s="3" t="str">
        <f t="shared" si="10"/>
        <v/>
      </c>
      <c r="C38" s="3" t="str">
        <f t="shared" si="10"/>
        <v/>
      </c>
      <c r="D38" s="3" t="str">
        <f t="shared" si="10"/>
        <v/>
      </c>
      <c r="E38" s="3" t="str">
        <f t="shared" si="10"/>
        <v/>
      </c>
      <c r="F38" s="3" t="str">
        <f t="shared" si="10"/>
        <v/>
      </c>
      <c r="G38" s="3" t="str">
        <f t="shared" si="10"/>
        <v/>
      </c>
      <c r="H38" s="3" t="str">
        <f t="shared" si="10"/>
        <v/>
      </c>
      <c r="I38" s="3" t="str">
        <f t="shared" si="10"/>
        <v/>
      </c>
      <c r="J38" s="3" t="str">
        <f t="shared" si="10"/>
        <v/>
      </c>
      <c r="K38" s="3" t="str">
        <f t="shared" si="10"/>
        <v/>
      </c>
      <c r="L38" s="3" t="str">
        <f t="shared" si="10"/>
        <v/>
      </c>
      <c r="M38" s="3" t="str">
        <f t="shared" si="10"/>
        <v/>
      </c>
      <c r="N38" s="3" t="str">
        <f t="shared" si="10"/>
        <v/>
      </c>
      <c r="O38" s="3" t="str">
        <f t="shared" si="10"/>
        <v/>
      </c>
      <c r="P38" s="3" t="str">
        <f t="shared" si="10"/>
        <v/>
      </c>
      <c r="Q38" s="3" t="str">
        <f t="shared" si="10"/>
        <v/>
      </c>
      <c r="R38" s="3" t="str">
        <f t="shared" si="8"/>
        <v/>
      </c>
      <c r="S38" s="3" t="str">
        <f t="shared" si="8"/>
        <v/>
      </c>
      <c r="T38" s="3" t="str">
        <f t="shared" si="8"/>
        <v/>
      </c>
      <c r="U38" s="3" t="str">
        <f t="shared" si="8"/>
        <v/>
      </c>
      <c r="V38" s="3" t="str">
        <f t="shared" si="9"/>
        <v/>
      </c>
      <c r="W38" s="3" t="str">
        <f t="shared" si="9"/>
        <v/>
      </c>
      <c r="X38" s="3" t="str">
        <f t="shared" si="9"/>
        <v/>
      </c>
      <c r="Y38" s="3" t="str">
        <f t="shared" si="9"/>
        <v/>
      </c>
      <c r="Z38" s="3" t="str">
        <f t="shared" si="9"/>
        <v/>
      </c>
      <c r="AA38" s="3" t="str">
        <f t="shared" si="9"/>
        <v/>
      </c>
      <c r="AB38" s="3" t="str">
        <f t="shared" si="9"/>
        <v/>
      </c>
      <c r="AC38" s="3" t="str">
        <f t="shared" si="9"/>
        <v/>
      </c>
      <c r="AD38" s="3" t="str">
        <f t="shared" si="9"/>
        <v/>
      </c>
      <c r="AE38" s="3" t="str">
        <f t="shared" si="9"/>
        <v/>
      </c>
      <c r="AF38" s="3" t="str">
        <f t="shared" si="9"/>
        <v/>
      </c>
      <c r="AG38" s="3" t="str">
        <f t="shared" si="9"/>
        <v/>
      </c>
      <c r="AH38" s="3" t="str">
        <f t="shared" si="9"/>
        <v/>
      </c>
      <c r="AI38" s="3" t="str">
        <f t="shared" si="9"/>
        <v/>
      </c>
      <c r="AJ38" s="3" t="str">
        <f t="shared" si="9"/>
        <v/>
      </c>
      <c r="AK38" s="3" t="str">
        <f t="shared" si="9"/>
        <v/>
      </c>
      <c r="AL38" s="3" t="str">
        <f t="shared" si="9"/>
        <v/>
      </c>
      <c r="AM38" s="3" t="str">
        <f t="shared" si="9"/>
        <v/>
      </c>
      <c r="AN38" s="3" t="str">
        <f t="shared" si="9"/>
        <v/>
      </c>
      <c r="AO38" s="3" t="str">
        <f t="shared" si="9"/>
        <v/>
      </c>
    </row>
    <row r="39" spans="2:41" x14ac:dyDescent="0.2">
      <c r="B39" s="3" t="str">
        <f t="shared" si="10"/>
        <v/>
      </c>
      <c r="C39" s="3" t="str">
        <f t="shared" si="10"/>
        <v/>
      </c>
      <c r="D39" s="3" t="str">
        <f t="shared" si="10"/>
        <v/>
      </c>
      <c r="E39" s="3" t="str">
        <f t="shared" si="10"/>
        <v/>
      </c>
      <c r="F39" s="3" t="str">
        <f t="shared" si="10"/>
        <v/>
      </c>
      <c r="G39" s="3" t="str">
        <f t="shared" si="10"/>
        <v/>
      </c>
      <c r="H39" s="3" t="str">
        <f t="shared" si="10"/>
        <v/>
      </c>
      <c r="I39" s="3" t="str">
        <f t="shared" si="10"/>
        <v/>
      </c>
      <c r="J39" s="3" t="str">
        <f t="shared" si="10"/>
        <v/>
      </c>
      <c r="K39" s="3" t="str">
        <f t="shared" si="10"/>
        <v/>
      </c>
      <c r="L39" s="3" t="str">
        <f t="shared" si="10"/>
        <v/>
      </c>
      <c r="M39" s="3" t="str">
        <f t="shared" si="10"/>
        <v/>
      </c>
      <c r="N39" s="3" t="str">
        <f t="shared" si="10"/>
        <v/>
      </c>
      <c r="O39" s="3" t="str">
        <f t="shared" si="10"/>
        <v/>
      </c>
      <c r="P39" s="3" t="str">
        <f t="shared" si="10"/>
        <v/>
      </c>
      <c r="Q39" s="3" t="str">
        <f t="shared" si="10"/>
        <v/>
      </c>
      <c r="R39" s="3" t="str">
        <f t="shared" si="8"/>
        <v/>
      </c>
      <c r="S39" s="3" t="str">
        <f t="shared" si="8"/>
        <v/>
      </c>
      <c r="T39" s="3" t="str">
        <f t="shared" si="8"/>
        <v/>
      </c>
      <c r="U39" s="3" t="str">
        <f t="shared" si="8"/>
        <v/>
      </c>
      <c r="V39" s="3" t="str">
        <f t="shared" si="9"/>
        <v/>
      </c>
      <c r="W39" s="3" t="str">
        <f t="shared" si="9"/>
        <v/>
      </c>
      <c r="X39" s="3" t="str">
        <f t="shared" si="9"/>
        <v/>
      </c>
      <c r="Y39" s="3" t="str">
        <f t="shared" si="9"/>
        <v/>
      </c>
      <c r="Z39" s="3" t="str">
        <f t="shared" si="9"/>
        <v/>
      </c>
      <c r="AA39" s="3" t="str">
        <f t="shared" si="9"/>
        <v/>
      </c>
      <c r="AB39" s="3" t="str">
        <f t="shared" si="9"/>
        <v/>
      </c>
      <c r="AC39" s="3" t="str">
        <f t="shared" si="9"/>
        <v/>
      </c>
      <c r="AD39" s="3" t="str">
        <f t="shared" si="9"/>
        <v/>
      </c>
      <c r="AE39" s="3" t="str">
        <f t="shared" si="9"/>
        <v/>
      </c>
      <c r="AF39" s="3" t="str">
        <f t="shared" si="9"/>
        <v/>
      </c>
      <c r="AG39" s="3" t="str">
        <f t="shared" si="9"/>
        <v/>
      </c>
      <c r="AH39" s="3" t="str">
        <f t="shared" si="9"/>
        <v/>
      </c>
      <c r="AI39" s="3" t="str">
        <f t="shared" si="9"/>
        <v/>
      </c>
      <c r="AJ39" s="3" t="str">
        <f t="shared" si="9"/>
        <v/>
      </c>
      <c r="AK39" s="3" t="str">
        <f t="shared" si="9"/>
        <v/>
      </c>
      <c r="AL39" s="3" t="str">
        <f t="shared" si="9"/>
        <v/>
      </c>
      <c r="AM39" s="3" t="str">
        <f t="shared" si="9"/>
        <v/>
      </c>
      <c r="AN39" s="3" t="str">
        <f t="shared" si="9"/>
        <v/>
      </c>
      <c r="AO39" s="3" t="str">
        <f t="shared" si="9"/>
        <v/>
      </c>
    </row>
    <row r="40" spans="2:41" x14ac:dyDescent="0.2">
      <c r="B40" s="3" t="str">
        <f t="shared" si="10"/>
        <v/>
      </c>
      <c r="C40" s="3" t="str">
        <f t="shared" si="10"/>
        <v/>
      </c>
      <c r="D40" s="3" t="str">
        <f t="shared" si="10"/>
        <v/>
      </c>
      <c r="E40" s="3" t="str">
        <f t="shared" si="10"/>
        <v/>
      </c>
      <c r="F40" s="3" t="str">
        <f t="shared" si="10"/>
        <v/>
      </c>
      <c r="G40" s="3" t="str">
        <f t="shared" si="10"/>
        <v/>
      </c>
      <c r="H40" s="3" t="str">
        <f t="shared" si="10"/>
        <v/>
      </c>
      <c r="I40" s="3" t="str">
        <f t="shared" si="10"/>
        <v/>
      </c>
      <c r="J40" s="3" t="str">
        <f t="shared" si="10"/>
        <v/>
      </c>
      <c r="K40" s="3" t="str">
        <f t="shared" si="10"/>
        <v/>
      </c>
      <c r="L40" s="3" t="str">
        <f t="shared" si="10"/>
        <v/>
      </c>
      <c r="M40" s="3" t="str">
        <f t="shared" si="10"/>
        <v/>
      </c>
      <c r="N40" s="3" t="str">
        <f t="shared" si="10"/>
        <v/>
      </c>
      <c r="O40" s="3" t="str">
        <f t="shared" si="10"/>
        <v/>
      </c>
      <c r="P40" s="3" t="str">
        <f t="shared" si="10"/>
        <v/>
      </c>
      <c r="Q40" s="3" t="str">
        <f t="shared" si="10"/>
        <v/>
      </c>
      <c r="R40" s="3" t="str">
        <f t="shared" si="8"/>
        <v/>
      </c>
      <c r="S40" s="3" t="str">
        <f t="shared" si="8"/>
        <v/>
      </c>
      <c r="T40" s="3" t="str">
        <f t="shared" si="8"/>
        <v/>
      </c>
      <c r="U40" s="3" t="str">
        <f t="shared" si="8"/>
        <v/>
      </c>
      <c r="V40" s="3" t="str">
        <f t="shared" si="9"/>
        <v/>
      </c>
      <c r="W40" s="3" t="str">
        <f t="shared" si="9"/>
        <v/>
      </c>
      <c r="X40" s="3" t="str">
        <f t="shared" si="9"/>
        <v/>
      </c>
      <c r="Y40" s="3" t="str">
        <f t="shared" si="9"/>
        <v/>
      </c>
      <c r="Z40" s="3" t="str">
        <f t="shared" si="9"/>
        <v/>
      </c>
      <c r="AA40" s="3" t="str">
        <f t="shared" si="9"/>
        <v/>
      </c>
      <c r="AB40" s="3" t="str">
        <f t="shared" si="9"/>
        <v/>
      </c>
      <c r="AC40" s="3" t="str">
        <f t="shared" si="9"/>
        <v/>
      </c>
      <c r="AD40" s="3" t="str">
        <f t="shared" si="9"/>
        <v/>
      </c>
      <c r="AE40" s="3" t="str">
        <f t="shared" si="9"/>
        <v/>
      </c>
      <c r="AF40" s="3" t="str">
        <f t="shared" si="9"/>
        <v/>
      </c>
      <c r="AG40" s="3" t="str">
        <f t="shared" si="9"/>
        <v/>
      </c>
      <c r="AH40" s="3" t="str">
        <f t="shared" si="9"/>
        <v/>
      </c>
      <c r="AI40" s="3" t="str">
        <f t="shared" si="9"/>
        <v/>
      </c>
      <c r="AJ40" s="3" t="str">
        <f t="shared" si="9"/>
        <v/>
      </c>
      <c r="AK40" s="3" t="str">
        <f t="shared" si="9"/>
        <v/>
      </c>
      <c r="AL40" s="3" t="str">
        <f t="shared" si="9"/>
        <v/>
      </c>
      <c r="AM40" s="3" t="str">
        <f t="shared" si="9"/>
        <v/>
      </c>
      <c r="AN40" s="3" t="str">
        <f t="shared" si="9"/>
        <v/>
      </c>
      <c r="AO40" s="3" t="str">
        <f t="shared" si="9"/>
        <v/>
      </c>
    </row>
    <row r="41" spans="2:41" x14ac:dyDescent="0.2">
      <c r="B41" s="3" t="str">
        <f t="shared" si="10"/>
        <v/>
      </c>
      <c r="C41" s="3" t="str">
        <f t="shared" si="10"/>
        <v/>
      </c>
      <c r="D41" s="3" t="str">
        <f t="shared" si="10"/>
        <v/>
      </c>
      <c r="E41" s="3" t="str">
        <f t="shared" si="10"/>
        <v/>
      </c>
      <c r="F41" s="3" t="str">
        <f t="shared" si="10"/>
        <v/>
      </c>
      <c r="G41" s="3" t="str">
        <f t="shared" si="10"/>
        <v/>
      </c>
      <c r="H41" s="3" t="str">
        <f t="shared" si="10"/>
        <v/>
      </c>
      <c r="I41" s="3" t="str">
        <f t="shared" si="10"/>
        <v/>
      </c>
      <c r="J41" s="3" t="str">
        <f t="shared" si="10"/>
        <v/>
      </c>
      <c r="K41" s="3" t="str">
        <f t="shared" si="10"/>
        <v/>
      </c>
      <c r="L41" s="3" t="str">
        <f t="shared" si="10"/>
        <v/>
      </c>
      <c r="M41" s="3" t="str">
        <f t="shared" si="10"/>
        <v/>
      </c>
      <c r="N41" s="3" t="str">
        <f t="shared" si="10"/>
        <v/>
      </c>
      <c r="O41" s="3" t="str">
        <f t="shared" si="10"/>
        <v/>
      </c>
      <c r="P41" s="3" t="str">
        <f t="shared" si="10"/>
        <v/>
      </c>
      <c r="Q41" s="3" t="str">
        <f t="shared" si="10"/>
        <v/>
      </c>
      <c r="R41" s="3" t="str">
        <f t="shared" si="8"/>
        <v/>
      </c>
      <c r="S41" s="3" t="str">
        <f t="shared" si="8"/>
        <v/>
      </c>
      <c r="T41" s="3" t="str">
        <f t="shared" si="8"/>
        <v/>
      </c>
      <c r="U41" s="3" t="str">
        <f t="shared" si="8"/>
        <v/>
      </c>
      <c r="V41" s="3" t="str">
        <f t="shared" si="9"/>
        <v/>
      </c>
      <c r="W41" s="3" t="str">
        <f t="shared" si="9"/>
        <v/>
      </c>
      <c r="X41" s="3" t="str">
        <f t="shared" si="9"/>
        <v/>
      </c>
      <c r="Y41" s="3" t="str">
        <f t="shared" si="9"/>
        <v/>
      </c>
      <c r="Z41" s="3" t="str">
        <f t="shared" si="9"/>
        <v/>
      </c>
      <c r="AA41" s="3" t="str">
        <f t="shared" si="9"/>
        <v/>
      </c>
      <c r="AB41" s="3" t="str">
        <f t="shared" si="9"/>
        <v/>
      </c>
      <c r="AC41" s="3" t="str">
        <f t="shared" si="9"/>
        <v/>
      </c>
      <c r="AD41" s="3" t="str">
        <f t="shared" si="9"/>
        <v/>
      </c>
      <c r="AE41" s="3" t="str">
        <f t="shared" si="9"/>
        <v/>
      </c>
      <c r="AF41" s="3" t="str">
        <f t="shared" si="9"/>
        <v/>
      </c>
      <c r="AG41" s="3" t="str">
        <f t="shared" si="9"/>
        <v/>
      </c>
      <c r="AH41" s="3" t="str">
        <f t="shared" si="9"/>
        <v/>
      </c>
      <c r="AI41" s="3" t="str">
        <f t="shared" si="9"/>
        <v/>
      </c>
      <c r="AJ41" s="3" t="str">
        <f t="shared" si="9"/>
        <v/>
      </c>
      <c r="AK41" s="3" t="str">
        <f t="shared" si="9"/>
        <v/>
      </c>
      <c r="AL41" s="3" t="str">
        <f t="shared" si="9"/>
        <v/>
      </c>
      <c r="AM41" s="3" t="str">
        <f t="shared" si="9"/>
        <v/>
      </c>
      <c r="AN41" s="3" t="str">
        <f t="shared" si="9"/>
        <v/>
      </c>
      <c r="AO41" s="3" t="str">
        <f t="shared" si="9"/>
        <v/>
      </c>
    </row>
    <row r="42" spans="2:41" x14ac:dyDescent="0.2">
      <c r="B42" s="3" t="str">
        <f t="shared" si="10"/>
        <v/>
      </c>
      <c r="C42" s="3" t="str">
        <f t="shared" si="10"/>
        <v/>
      </c>
      <c r="D42" s="3" t="str">
        <f t="shared" si="10"/>
        <v/>
      </c>
      <c r="E42" s="3" t="str">
        <f t="shared" si="10"/>
        <v/>
      </c>
      <c r="F42" s="3" t="str">
        <f t="shared" si="10"/>
        <v/>
      </c>
      <c r="G42" s="3" t="str">
        <f t="shared" si="10"/>
        <v/>
      </c>
      <c r="H42" s="3" t="str">
        <f t="shared" si="10"/>
        <v/>
      </c>
      <c r="I42" s="3" t="str">
        <f t="shared" si="10"/>
        <v/>
      </c>
      <c r="J42" s="3" t="str">
        <f t="shared" si="10"/>
        <v/>
      </c>
      <c r="K42" s="3" t="str">
        <f t="shared" si="10"/>
        <v/>
      </c>
      <c r="L42" s="3" t="str">
        <f t="shared" si="10"/>
        <v/>
      </c>
      <c r="M42" s="3" t="str">
        <f t="shared" si="10"/>
        <v/>
      </c>
      <c r="N42" s="3" t="str">
        <f t="shared" si="10"/>
        <v/>
      </c>
      <c r="O42" s="3" t="str">
        <f t="shared" si="10"/>
        <v/>
      </c>
      <c r="P42" s="3" t="str">
        <f t="shared" si="10"/>
        <v/>
      </c>
      <c r="Q42" s="3" t="str">
        <f t="shared" si="10"/>
        <v/>
      </c>
      <c r="R42" s="3" t="str">
        <f t="shared" si="8"/>
        <v/>
      </c>
      <c r="S42" s="3" t="str">
        <f t="shared" si="8"/>
        <v/>
      </c>
      <c r="T42" s="3" t="str">
        <f t="shared" si="8"/>
        <v/>
      </c>
      <c r="U42" s="3" t="str">
        <f t="shared" si="8"/>
        <v/>
      </c>
      <c r="V42" s="3" t="str">
        <f t="shared" si="9"/>
        <v/>
      </c>
      <c r="W42" s="3" t="str">
        <f t="shared" si="9"/>
        <v/>
      </c>
      <c r="X42" s="3" t="str">
        <f t="shared" si="9"/>
        <v/>
      </c>
      <c r="Y42" s="3" t="str">
        <f t="shared" si="9"/>
        <v/>
      </c>
      <c r="Z42" s="3" t="str">
        <f t="shared" si="9"/>
        <v/>
      </c>
      <c r="AA42" s="3" t="str">
        <f t="shared" si="9"/>
        <v/>
      </c>
      <c r="AB42" s="3" t="str">
        <f t="shared" si="9"/>
        <v/>
      </c>
      <c r="AC42" s="3" t="str">
        <f t="shared" si="9"/>
        <v/>
      </c>
      <c r="AD42" s="3" t="str">
        <f t="shared" si="9"/>
        <v/>
      </c>
      <c r="AE42" s="3" t="str">
        <f t="shared" si="9"/>
        <v/>
      </c>
      <c r="AF42" s="3" t="str">
        <f t="shared" si="9"/>
        <v/>
      </c>
      <c r="AG42" s="3" t="str">
        <f t="shared" si="9"/>
        <v/>
      </c>
      <c r="AH42" s="3" t="str">
        <f t="shared" si="9"/>
        <v/>
      </c>
      <c r="AI42" s="3" t="str">
        <f t="shared" si="9"/>
        <v/>
      </c>
      <c r="AJ42" s="3" t="str">
        <f t="shared" si="9"/>
        <v/>
      </c>
      <c r="AK42" s="3" t="str">
        <f t="shared" si="9"/>
        <v/>
      </c>
      <c r="AL42" s="3" t="str">
        <f t="shared" si="9"/>
        <v/>
      </c>
      <c r="AM42" s="3" t="str">
        <f t="shared" si="9"/>
        <v/>
      </c>
      <c r="AN42" s="3" t="str">
        <f t="shared" si="9"/>
        <v/>
      </c>
      <c r="AO42" s="3" t="str">
        <f t="shared" si="9"/>
        <v/>
      </c>
    </row>
  </sheetData>
  <mergeCells count="1">
    <mergeCell ref="B2:G2"/>
  </mergeCells>
  <phoneticPr fontId="0" type="noConversion"/>
  <conditionalFormatting sqref="B3:AO42">
    <cfRule type="expression" dxfId="0" priority="1" stopIfTrue="1">
      <formula>(ROW()-COLUMN())=1</formula>
    </cfRule>
  </conditionalFormatting>
  <pageMargins left="0.75" right="0.75" top="1" bottom="1" header="0.5" footer="0.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Tabla de Posiciones</vt:lpstr>
      <vt:lpstr>Segunda Vuelta</vt:lpstr>
      <vt:lpstr>Liguilla</vt:lpstr>
      <vt:lpstr>Para Cuadrar</vt:lpstr>
      <vt:lpstr>Resultados</vt:lpstr>
      <vt:lpstr>Posiciones y Vallas</vt:lpstr>
      <vt:lpstr>Parametros</vt:lpstr>
      <vt:lpstr>Posiciones Auxiliar</vt:lpstr>
      <vt:lpstr>Resultados Auxiliar</vt:lpstr>
      <vt:lpstr>Partido_empatado</vt:lpstr>
      <vt:lpstr>Partido_ganado</vt:lpstr>
      <vt:lpstr>Partido_perdido</vt:lpstr>
      <vt:lpstr>Posiciones_Auxiliar</vt:lpstr>
    </vt:vector>
  </TitlesOfParts>
  <Manager>http://www.jldexcelsp.blogspot.com</Manager>
  <Company>JLD Excel Blog en Castellano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Tabla de Posiciones</dc:title>
  <dc:creator>Jorge Dunkelman</dc:creator>
  <dc:description/>
  <cp:lastModifiedBy>Sabik Barreto Barreto</cp:lastModifiedBy>
  <cp:lastPrinted>2020-02-05T01:32:33Z</cp:lastPrinted>
  <dcterms:created xsi:type="dcterms:W3CDTF">2006-03-29T18:47:58Z</dcterms:created>
  <dcterms:modified xsi:type="dcterms:W3CDTF">2026-08-02T20:51:17Z</dcterms:modified>
</cp:coreProperties>
</file>