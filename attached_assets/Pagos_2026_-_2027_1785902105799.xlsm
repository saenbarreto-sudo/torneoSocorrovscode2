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G:\Mi unidad\Torneo Socorro sub 40\Torneo Socorro 2026-2027\"/>
    </mc:Choice>
  </mc:AlternateContent>
  <xr:revisionPtr revIDLastSave="0" documentId="13_ncr:1_{9711DB80-4EA4-4D9B-AC3B-E56BAFD1ACB9}" xr6:coauthVersionLast="47" xr6:coauthVersionMax="47" xr10:uidLastSave="{00000000-0000-0000-0000-000000000000}"/>
  <bookViews>
    <workbookView xWindow="-108" yWindow="-108" windowWidth="23256" windowHeight="12456" tabRatio="748" activeTab="4" xr2:uid="{00000000-000D-0000-FFFF-FFFF00000000}"/>
  </bookViews>
  <sheets>
    <sheet name="Pagos" sheetId="1" r:id="rId1"/>
    <sheet name="Pago_Equ_Insc" sheetId="4" r:id="rId2"/>
    <sheet name="Extracto" sheetId="3" r:id="rId3"/>
    <sheet name="Recibo" sheetId="2" r:id="rId4"/>
    <sheet name="Sheet1" sheetId="11" r:id="rId5"/>
    <sheet name="Pagos Totales" sheetId="5" r:id="rId6"/>
    <sheet name="Mesa" sheetId="10" r:id="rId7"/>
    <sheet name="Proyecion Ter Torneo" sheetId="9" r:id="rId8"/>
    <sheet name="Datos" sheetId="6" r:id="rId9"/>
  </sheets>
  <functionGroups builtInGroupCount="19"/>
  <definedNames>
    <definedName name="_xlnm._FilterDatabase" localSheetId="8" hidden="1">Datos!$A$1:$B$1</definedName>
    <definedName name="_xlnm._FilterDatabase" localSheetId="2" hidden="1">Extracto!#REF!</definedName>
    <definedName name="Conceptos">Datos!$E$2:$E$8</definedName>
    <definedName name="Equipo">Datos!$B$2:$B$11</definedName>
    <definedName name="Semanas">Datos!$H$2:$H$38</definedName>
  </definedNames>
  <calcPr calcId="191029"/>
  <pivotCaches>
    <pivotCache cacheId="8" r:id="rId10"/>
    <pivotCache cacheId="22" r:id="rId1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10" i="11" l="1"/>
  <c r="D9" i="11"/>
  <c r="P11" i="10"/>
  <c r="D2" i="9"/>
  <c r="B2" i="9"/>
  <c r="C10" i="11"/>
  <c r="P6" i="10" l="1"/>
  <c r="D10" i="3"/>
  <c r="C10" i="2"/>
  <c r="K13" i="1" l="1"/>
  <c r="K14" i="1"/>
  <c r="K15" i="1"/>
  <c r="K16" i="1"/>
  <c r="K17" i="1"/>
  <c r="K18" i="1"/>
  <c r="K25" i="1"/>
  <c r="K26" i="1"/>
  <c r="K27" i="1"/>
  <c r="K28" i="1"/>
  <c r="K29" i="1"/>
  <c r="K30" i="1"/>
  <c r="K37" i="1"/>
  <c r="K38" i="1"/>
  <c r="K39" i="1"/>
  <c r="K40" i="1"/>
  <c r="K41" i="1"/>
  <c r="K42" i="1"/>
  <c r="K49" i="1"/>
  <c r="K50" i="1"/>
  <c r="K51" i="1"/>
  <c r="K52" i="1"/>
  <c r="K53" i="1"/>
  <c r="K54" i="1"/>
  <c r="K61" i="1"/>
  <c r="K62" i="1"/>
  <c r="K63" i="1"/>
  <c r="K64" i="1"/>
  <c r="K65" i="1"/>
  <c r="K66" i="1"/>
  <c r="K73" i="1"/>
  <c r="K74" i="1"/>
  <c r="K75" i="1"/>
  <c r="K76" i="1"/>
  <c r="K77" i="1"/>
  <c r="K78" i="1"/>
  <c r="K85" i="1"/>
  <c r="K86" i="1"/>
  <c r="K87" i="1"/>
  <c r="K88" i="1"/>
  <c r="K89" i="1"/>
  <c r="K90" i="1"/>
  <c r="K97" i="1"/>
  <c r="K98" i="1"/>
  <c r="K99" i="1"/>
  <c r="K100" i="1"/>
  <c r="K101" i="1"/>
  <c r="K102" i="1"/>
  <c r="K109" i="1"/>
  <c r="K110" i="1"/>
  <c r="K111" i="1"/>
  <c r="K112" i="1"/>
  <c r="K113" i="1"/>
  <c r="K114" i="1"/>
  <c r="K121" i="1"/>
  <c r="K122" i="1"/>
  <c r="K123" i="1"/>
  <c r="K124" i="1"/>
  <c r="K125" i="1"/>
  <c r="K126" i="1"/>
  <c r="K133" i="1"/>
  <c r="K134" i="1"/>
  <c r="K135" i="1"/>
  <c r="K136" i="1"/>
  <c r="K137" i="1"/>
  <c r="K138" i="1"/>
  <c r="K145" i="1"/>
  <c r="K146" i="1"/>
  <c r="K147" i="1"/>
  <c r="K148" i="1"/>
  <c r="K149" i="1"/>
  <c r="K150" i="1"/>
  <c r="K157" i="1"/>
  <c r="K158" i="1"/>
  <c r="K159" i="1"/>
  <c r="K160" i="1"/>
  <c r="K161" i="1"/>
  <c r="K162" i="1"/>
  <c r="K169" i="1"/>
  <c r="K170" i="1"/>
  <c r="K171" i="1"/>
  <c r="K172" i="1"/>
  <c r="K173" i="1"/>
  <c r="K174" i="1"/>
  <c r="K181" i="1"/>
  <c r="K182" i="1"/>
  <c r="K183" i="1"/>
  <c r="K184" i="1"/>
  <c r="K185" i="1"/>
  <c r="K186" i="1"/>
  <c r="K193" i="1"/>
  <c r="K194" i="1"/>
  <c r="K195" i="1"/>
  <c r="K196" i="1"/>
  <c r="K197" i="1"/>
  <c r="K198" i="1"/>
  <c r="K205" i="1"/>
  <c r="K206" i="1"/>
  <c r="K207" i="1"/>
  <c r="K208" i="1"/>
  <c r="K209" i="1"/>
  <c r="K210" i="1"/>
  <c r="K217" i="1"/>
  <c r="K218" i="1"/>
  <c r="K219" i="1"/>
  <c r="K220" i="1"/>
  <c r="K221" i="1"/>
  <c r="K222" i="1"/>
  <c r="K229" i="1"/>
  <c r="K230" i="1"/>
  <c r="K231" i="1"/>
  <c r="K232" i="1"/>
  <c r="K233" i="1"/>
  <c r="K234" i="1"/>
  <c r="K241" i="1"/>
  <c r="K242" i="1"/>
  <c r="K243" i="1"/>
  <c r="K244" i="1"/>
  <c r="K245" i="1"/>
  <c r="K246" i="1"/>
  <c r="J3" i="1"/>
  <c r="K3" i="1" s="1"/>
  <c r="J4" i="1"/>
  <c r="J5" i="1"/>
  <c r="J6" i="1"/>
  <c r="J7" i="1"/>
  <c r="K7" i="1" s="1"/>
  <c r="J8" i="1"/>
  <c r="K8" i="1" s="1"/>
  <c r="J9" i="1"/>
  <c r="K9" i="1" s="1"/>
  <c r="J10" i="1"/>
  <c r="K10" i="1" s="1"/>
  <c r="J11" i="1"/>
  <c r="K11" i="1" s="1"/>
  <c r="J12" i="1"/>
  <c r="K12" i="1" s="1"/>
  <c r="J13" i="1"/>
  <c r="J14" i="1"/>
  <c r="J15" i="1"/>
  <c r="J16" i="1"/>
  <c r="J17" i="1"/>
  <c r="J18" i="1"/>
  <c r="J19" i="1"/>
  <c r="K19" i="1" s="1"/>
  <c r="J20" i="1"/>
  <c r="K20" i="1" s="1"/>
  <c r="J21" i="1"/>
  <c r="K21" i="1" s="1"/>
  <c r="J22" i="1"/>
  <c r="K22" i="1" s="1"/>
  <c r="J23" i="1"/>
  <c r="K23" i="1" s="1"/>
  <c r="J24" i="1"/>
  <c r="K24" i="1" s="1"/>
  <c r="J25" i="1"/>
  <c r="J26" i="1"/>
  <c r="J27" i="1"/>
  <c r="J28" i="1"/>
  <c r="J29" i="1"/>
  <c r="J30" i="1"/>
  <c r="J31" i="1"/>
  <c r="K31" i="1" s="1"/>
  <c r="J32" i="1"/>
  <c r="K32" i="1" s="1"/>
  <c r="J33" i="1"/>
  <c r="K33" i="1" s="1"/>
  <c r="J34" i="1"/>
  <c r="K34" i="1" s="1"/>
  <c r="J35" i="1"/>
  <c r="K35" i="1" s="1"/>
  <c r="J36" i="1"/>
  <c r="K36" i="1" s="1"/>
  <c r="J37" i="1"/>
  <c r="J38" i="1"/>
  <c r="J39" i="1"/>
  <c r="J40" i="1"/>
  <c r="J41" i="1"/>
  <c r="J42" i="1"/>
  <c r="J43" i="1"/>
  <c r="K43" i="1" s="1"/>
  <c r="J44" i="1"/>
  <c r="K44" i="1" s="1"/>
  <c r="J45" i="1"/>
  <c r="K45" i="1" s="1"/>
  <c r="J46" i="1"/>
  <c r="K46" i="1" s="1"/>
  <c r="J47" i="1"/>
  <c r="K47" i="1" s="1"/>
  <c r="J48" i="1"/>
  <c r="K48" i="1" s="1"/>
  <c r="J49" i="1"/>
  <c r="J50" i="1"/>
  <c r="J51" i="1"/>
  <c r="J52" i="1"/>
  <c r="J53" i="1"/>
  <c r="J54" i="1"/>
  <c r="J55" i="1"/>
  <c r="K55" i="1" s="1"/>
  <c r="J56" i="1"/>
  <c r="K56" i="1" s="1"/>
  <c r="J57" i="1"/>
  <c r="K57" i="1" s="1"/>
  <c r="J58" i="1"/>
  <c r="K58" i="1" s="1"/>
  <c r="J59" i="1"/>
  <c r="K59" i="1" s="1"/>
  <c r="J60" i="1"/>
  <c r="K60" i="1" s="1"/>
  <c r="J61" i="1"/>
  <c r="J62" i="1"/>
  <c r="J63" i="1"/>
  <c r="J64" i="1"/>
  <c r="J65" i="1"/>
  <c r="J66" i="1"/>
  <c r="J67" i="1"/>
  <c r="K67" i="1" s="1"/>
  <c r="J68" i="1"/>
  <c r="K68" i="1" s="1"/>
  <c r="J69" i="1"/>
  <c r="K69" i="1" s="1"/>
  <c r="J70" i="1"/>
  <c r="K70" i="1" s="1"/>
  <c r="J71" i="1"/>
  <c r="K71" i="1" s="1"/>
  <c r="J72" i="1"/>
  <c r="K72" i="1" s="1"/>
  <c r="J73" i="1"/>
  <c r="J74" i="1"/>
  <c r="J75" i="1"/>
  <c r="J76" i="1"/>
  <c r="J77" i="1"/>
  <c r="J78" i="1"/>
  <c r="J79" i="1"/>
  <c r="K79" i="1" s="1"/>
  <c r="J80" i="1"/>
  <c r="K80" i="1" s="1"/>
  <c r="J81" i="1"/>
  <c r="K81" i="1" s="1"/>
  <c r="J82" i="1"/>
  <c r="K82" i="1" s="1"/>
  <c r="J83" i="1"/>
  <c r="K83" i="1" s="1"/>
  <c r="J84" i="1"/>
  <c r="K84" i="1" s="1"/>
  <c r="J85" i="1"/>
  <c r="J86" i="1"/>
  <c r="J87" i="1"/>
  <c r="J88" i="1"/>
  <c r="J89" i="1"/>
  <c r="J90" i="1"/>
  <c r="J91" i="1"/>
  <c r="K91" i="1" s="1"/>
  <c r="J92" i="1"/>
  <c r="K92" i="1" s="1"/>
  <c r="J93" i="1"/>
  <c r="K93" i="1" s="1"/>
  <c r="J94" i="1"/>
  <c r="K94" i="1" s="1"/>
  <c r="J95" i="1"/>
  <c r="K95" i="1" s="1"/>
  <c r="J96" i="1"/>
  <c r="K96" i="1" s="1"/>
  <c r="J97" i="1"/>
  <c r="J98" i="1"/>
  <c r="J99" i="1"/>
  <c r="J100" i="1"/>
  <c r="J101" i="1"/>
  <c r="J102" i="1"/>
  <c r="J103" i="1"/>
  <c r="K103" i="1" s="1"/>
  <c r="J104" i="1"/>
  <c r="K104" i="1" s="1"/>
  <c r="J105" i="1"/>
  <c r="K105" i="1" s="1"/>
  <c r="J106" i="1"/>
  <c r="K106" i="1" s="1"/>
  <c r="J107" i="1"/>
  <c r="K107" i="1" s="1"/>
  <c r="J108" i="1"/>
  <c r="K108" i="1" s="1"/>
  <c r="J109" i="1"/>
  <c r="J110" i="1"/>
  <c r="J111" i="1"/>
  <c r="J112" i="1"/>
  <c r="J113" i="1"/>
  <c r="J114" i="1"/>
  <c r="J115" i="1"/>
  <c r="K115" i="1" s="1"/>
  <c r="J116" i="1"/>
  <c r="K116" i="1" s="1"/>
  <c r="J117" i="1"/>
  <c r="K117" i="1" s="1"/>
  <c r="J118" i="1"/>
  <c r="K118" i="1" s="1"/>
  <c r="J119" i="1"/>
  <c r="K119" i="1" s="1"/>
  <c r="J120" i="1"/>
  <c r="K120" i="1" s="1"/>
  <c r="J121" i="1"/>
  <c r="J122" i="1"/>
  <c r="J123" i="1"/>
  <c r="J124" i="1"/>
  <c r="J125" i="1"/>
  <c r="J126" i="1"/>
  <c r="J127" i="1"/>
  <c r="K127" i="1" s="1"/>
  <c r="J128" i="1"/>
  <c r="K128" i="1" s="1"/>
  <c r="J129" i="1"/>
  <c r="K129" i="1" s="1"/>
  <c r="J130" i="1"/>
  <c r="K130" i="1" s="1"/>
  <c r="J131" i="1"/>
  <c r="K131" i="1" s="1"/>
  <c r="J132" i="1"/>
  <c r="K132" i="1" s="1"/>
  <c r="J133" i="1"/>
  <c r="J134" i="1"/>
  <c r="J135" i="1"/>
  <c r="J136" i="1"/>
  <c r="J137" i="1"/>
  <c r="J138" i="1"/>
  <c r="J139" i="1"/>
  <c r="K139" i="1" s="1"/>
  <c r="J140" i="1"/>
  <c r="K140" i="1" s="1"/>
  <c r="J141" i="1"/>
  <c r="K141" i="1" s="1"/>
  <c r="J142" i="1"/>
  <c r="K142" i="1" s="1"/>
  <c r="J143" i="1"/>
  <c r="K143" i="1" s="1"/>
  <c r="J144" i="1"/>
  <c r="K144" i="1" s="1"/>
  <c r="J145" i="1"/>
  <c r="J146" i="1"/>
  <c r="J147" i="1"/>
  <c r="J148" i="1"/>
  <c r="J149" i="1"/>
  <c r="J150" i="1"/>
  <c r="J151" i="1"/>
  <c r="K151" i="1" s="1"/>
  <c r="J152" i="1"/>
  <c r="K152" i="1" s="1"/>
  <c r="J153" i="1"/>
  <c r="K153" i="1" s="1"/>
  <c r="J154" i="1"/>
  <c r="K154" i="1" s="1"/>
  <c r="J155" i="1"/>
  <c r="K155" i="1" s="1"/>
  <c r="J156" i="1"/>
  <c r="K156" i="1" s="1"/>
  <c r="J157" i="1"/>
  <c r="J158" i="1"/>
  <c r="J159" i="1"/>
  <c r="J160" i="1"/>
  <c r="J161" i="1"/>
  <c r="J162" i="1"/>
  <c r="J163" i="1"/>
  <c r="K163" i="1" s="1"/>
  <c r="J164" i="1"/>
  <c r="K164" i="1" s="1"/>
  <c r="J165" i="1"/>
  <c r="K165" i="1" s="1"/>
  <c r="J166" i="1"/>
  <c r="K166" i="1" s="1"/>
  <c r="J167" i="1"/>
  <c r="K167" i="1" s="1"/>
  <c r="J168" i="1"/>
  <c r="K168" i="1" s="1"/>
  <c r="J169" i="1"/>
  <c r="J170" i="1"/>
  <c r="J171" i="1"/>
  <c r="J172" i="1"/>
  <c r="J173" i="1"/>
  <c r="J174" i="1"/>
  <c r="J175" i="1"/>
  <c r="K175" i="1" s="1"/>
  <c r="J176" i="1"/>
  <c r="K176" i="1" s="1"/>
  <c r="J177" i="1"/>
  <c r="K177" i="1" s="1"/>
  <c r="J178" i="1"/>
  <c r="K178" i="1" s="1"/>
  <c r="J179" i="1"/>
  <c r="K179" i="1" s="1"/>
  <c r="J180" i="1"/>
  <c r="K180" i="1" s="1"/>
  <c r="J181" i="1"/>
  <c r="J182" i="1"/>
  <c r="J183" i="1"/>
  <c r="J184" i="1"/>
  <c r="J185" i="1"/>
  <c r="J186" i="1"/>
  <c r="J187" i="1"/>
  <c r="K187" i="1" s="1"/>
  <c r="J188" i="1"/>
  <c r="K188" i="1" s="1"/>
  <c r="J189" i="1"/>
  <c r="K189" i="1" s="1"/>
  <c r="J190" i="1"/>
  <c r="K190" i="1" s="1"/>
  <c r="J191" i="1"/>
  <c r="K191" i="1" s="1"/>
  <c r="J192" i="1"/>
  <c r="K192" i="1" s="1"/>
  <c r="J193" i="1"/>
  <c r="J194" i="1"/>
  <c r="J195" i="1"/>
  <c r="J196" i="1"/>
  <c r="J197" i="1"/>
  <c r="J198" i="1"/>
  <c r="J199" i="1"/>
  <c r="K199" i="1" s="1"/>
  <c r="J200" i="1"/>
  <c r="K200" i="1" s="1"/>
  <c r="J201" i="1"/>
  <c r="K201" i="1" s="1"/>
  <c r="J202" i="1"/>
  <c r="K202" i="1" s="1"/>
  <c r="J203" i="1"/>
  <c r="K203" i="1" s="1"/>
  <c r="J204" i="1"/>
  <c r="K204" i="1" s="1"/>
  <c r="J205" i="1"/>
  <c r="J206" i="1"/>
  <c r="J207" i="1"/>
  <c r="J208" i="1"/>
  <c r="J209" i="1"/>
  <c r="J210" i="1"/>
  <c r="J211" i="1"/>
  <c r="K211" i="1" s="1"/>
  <c r="J212" i="1"/>
  <c r="K212" i="1" s="1"/>
  <c r="J213" i="1"/>
  <c r="K213" i="1" s="1"/>
  <c r="J214" i="1"/>
  <c r="K214" i="1" s="1"/>
  <c r="J215" i="1"/>
  <c r="K215" i="1" s="1"/>
  <c r="J216" i="1"/>
  <c r="K216" i="1" s="1"/>
  <c r="J217" i="1"/>
  <c r="J218" i="1"/>
  <c r="J219" i="1"/>
  <c r="J220" i="1"/>
  <c r="J221" i="1"/>
  <c r="J222" i="1"/>
  <c r="J223" i="1"/>
  <c r="K223" i="1" s="1"/>
  <c r="J224" i="1"/>
  <c r="K224" i="1" s="1"/>
  <c r="J225" i="1"/>
  <c r="K225" i="1" s="1"/>
  <c r="J226" i="1"/>
  <c r="K226" i="1" s="1"/>
  <c r="J227" i="1"/>
  <c r="K227" i="1" s="1"/>
  <c r="J228" i="1"/>
  <c r="K228" i="1" s="1"/>
  <c r="J229" i="1"/>
  <c r="J230" i="1"/>
  <c r="J231" i="1"/>
  <c r="J232" i="1"/>
  <c r="J233" i="1"/>
  <c r="J234" i="1"/>
  <c r="J235" i="1"/>
  <c r="K235" i="1" s="1"/>
  <c r="J236" i="1"/>
  <c r="K236" i="1" s="1"/>
  <c r="J237" i="1"/>
  <c r="K237" i="1" s="1"/>
  <c r="J238" i="1"/>
  <c r="K238" i="1" s="1"/>
  <c r="J239" i="1"/>
  <c r="K239" i="1" s="1"/>
  <c r="J240" i="1"/>
  <c r="K240" i="1" s="1"/>
  <c r="J241" i="1"/>
  <c r="J242" i="1"/>
  <c r="J243" i="1"/>
  <c r="J244" i="1"/>
  <c r="J245" i="1"/>
  <c r="J246" i="1"/>
  <c r="J247" i="1"/>
  <c r="K247" i="1" s="1"/>
  <c r="J248" i="1"/>
  <c r="K248" i="1" s="1"/>
  <c r="J249" i="1"/>
  <c r="K249" i="1" s="1"/>
  <c r="J250" i="1"/>
  <c r="K250" i="1" s="1"/>
  <c r="J2" i="1"/>
  <c r="K2" i="1" s="1"/>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K6" i="1" l="1"/>
  <c r="K5" i="1"/>
  <c r="K4" i="1"/>
  <c r="G7" i="10"/>
  <c r="L7" i="10" s="1"/>
  <c r="H7" i="10"/>
  <c r="H8" i="10"/>
  <c r="G9" i="10"/>
  <c r="H9" i="10"/>
  <c r="G10" i="10"/>
  <c r="H10" i="10"/>
  <c r="G11" i="10"/>
  <c r="H11" i="10"/>
  <c r="G12" i="10"/>
  <c r="H12" i="10"/>
  <c r="G13" i="10"/>
  <c r="H13" i="10"/>
  <c r="G14" i="10"/>
  <c r="H14" i="10"/>
  <c r="G15" i="10"/>
  <c r="H15" i="10"/>
  <c r="G16" i="10"/>
  <c r="H16" i="10"/>
  <c r="G17" i="10"/>
  <c r="H17" i="10"/>
  <c r="G18" i="10"/>
  <c r="H18" i="10"/>
  <c r="G19" i="10"/>
  <c r="H19" i="10"/>
  <c r="G20" i="10"/>
  <c r="H20" i="10"/>
  <c r="G21" i="10"/>
  <c r="H21" i="10"/>
  <c r="G22" i="10"/>
  <c r="H22" i="10"/>
  <c r="G23" i="10"/>
  <c r="H23" i="10"/>
  <c r="G24" i="10"/>
  <c r="H24" i="10"/>
  <c r="G25" i="10"/>
  <c r="H25" i="10"/>
  <c r="G26" i="10"/>
  <c r="H26" i="10"/>
  <c r="G27" i="10"/>
  <c r="H27" i="10"/>
  <c r="G28" i="10"/>
  <c r="H28" i="10"/>
  <c r="G29" i="10"/>
  <c r="H29" i="10"/>
  <c r="G30" i="10"/>
  <c r="H30" i="10"/>
  <c r="G31" i="10"/>
  <c r="H31" i="10"/>
  <c r="G32" i="10"/>
  <c r="H32" i="10"/>
  <c r="G33" i="10"/>
  <c r="H33" i="10"/>
  <c r="G34" i="10"/>
  <c r="H34" i="10"/>
  <c r="G35" i="10"/>
  <c r="H35" i="10"/>
  <c r="G36" i="10"/>
  <c r="H36" i="10"/>
  <c r="G37" i="10"/>
  <c r="H37" i="10"/>
  <c r="G38" i="10"/>
  <c r="H38" i="10"/>
  <c r="G39" i="10"/>
  <c r="H39" i="10"/>
  <c r="G40" i="10"/>
  <c r="H40" i="10"/>
  <c r="G41" i="10"/>
  <c r="H41" i="10"/>
  <c r="G42" i="10"/>
  <c r="H42" i="10"/>
  <c r="G43" i="10"/>
  <c r="H43" i="10"/>
  <c r="H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G6" i="10" l="1"/>
  <c r="L6" i="10" s="1"/>
  <c r="C6" i="10"/>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2" i="6"/>
  <c r="D5" i="4"/>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A15" i="1"/>
  <c r="A18" i="1"/>
  <c r="A31" i="1"/>
  <c r="A34" i="1"/>
  <c r="A47" i="1"/>
  <c r="A50" i="1"/>
  <c r="A63" i="1"/>
  <c r="A66" i="1"/>
  <c r="A79" i="1"/>
  <c r="A82" i="1"/>
  <c r="A95" i="1"/>
  <c r="A98" i="1"/>
  <c r="A111" i="1"/>
  <c r="A114" i="1"/>
  <c r="A127" i="1"/>
  <c r="A130" i="1"/>
  <c r="A143" i="1"/>
  <c r="A146" i="1"/>
  <c r="A159" i="1"/>
  <c r="A162" i="1"/>
  <c r="A175" i="1"/>
  <c r="A178" i="1"/>
  <c r="A191" i="1"/>
  <c r="A10" i="1"/>
  <c r="C12" i="2" s="1"/>
  <c r="A11" i="1"/>
  <c r="A12" i="1"/>
  <c r="A13" i="1"/>
  <c r="A14" i="1"/>
  <c r="A16" i="1"/>
  <c r="A17" i="1"/>
  <c r="A19" i="1"/>
  <c r="A20" i="1"/>
  <c r="A21" i="1"/>
  <c r="A22" i="1"/>
  <c r="A23" i="1"/>
  <c r="A24" i="1"/>
  <c r="A25" i="1"/>
  <c r="A26" i="1"/>
  <c r="A27" i="1"/>
  <c r="A28" i="1"/>
  <c r="A29" i="1"/>
  <c r="A30" i="1"/>
  <c r="A32" i="1"/>
  <c r="A33" i="1"/>
  <c r="A35" i="1"/>
  <c r="A36" i="1"/>
  <c r="A37" i="1"/>
  <c r="A38" i="1"/>
  <c r="A39" i="1"/>
  <c r="A40" i="1"/>
  <c r="A41" i="1"/>
  <c r="A42" i="1"/>
  <c r="A43" i="1"/>
  <c r="A44" i="1"/>
  <c r="A45" i="1"/>
  <c r="A46" i="1"/>
  <c r="A48" i="1"/>
  <c r="A49" i="1"/>
  <c r="A51" i="1"/>
  <c r="A52" i="1"/>
  <c r="A53" i="1"/>
  <c r="A54" i="1"/>
  <c r="A55" i="1"/>
  <c r="A56" i="1"/>
  <c r="A57" i="1"/>
  <c r="A58" i="1"/>
  <c r="A59" i="1"/>
  <c r="A60" i="1"/>
  <c r="A61" i="1"/>
  <c r="A62" i="1"/>
  <c r="A64" i="1"/>
  <c r="A65" i="1"/>
  <c r="A67" i="1"/>
  <c r="A68" i="1"/>
  <c r="A69" i="1"/>
  <c r="A70" i="1"/>
  <c r="A71" i="1"/>
  <c r="A72" i="1"/>
  <c r="A73" i="1"/>
  <c r="A74" i="1"/>
  <c r="A75" i="1"/>
  <c r="A76" i="1"/>
  <c r="A77" i="1"/>
  <c r="A78" i="1"/>
  <c r="A80" i="1"/>
  <c r="A81" i="1"/>
  <c r="A83" i="1"/>
  <c r="A84" i="1"/>
  <c r="A85" i="1"/>
  <c r="A86" i="1"/>
  <c r="A87" i="1"/>
  <c r="A88" i="1"/>
  <c r="A89" i="1"/>
  <c r="A90" i="1"/>
  <c r="A91" i="1"/>
  <c r="A92" i="1"/>
  <c r="A93" i="1"/>
  <c r="A94" i="1"/>
  <c r="A96" i="1"/>
  <c r="A97" i="1"/>
  <c r="A99" i="1"/>
  <c r="A100" i="1"/>
  <c r="A101" i="1"/>
  <c r="A102" i="1"/>
  <c r="A103" i="1"/>
  <c r="A104" i="1"/>
  <c r="A105" i="1"/>
  <c r="A106" i="1"/>
  <c r="A107" i="1"/>
  <c r="A108" i="1"/>
  <c r="A109" i="1"/>
  <c r="A110" i="1"/>
  <c r="A112" i="1"/>
  <c r="A113" i="1"/>
  <c r="A115" i="1"/>
  <c r="A116" i="1"/>
  <c r="A117" i="1"/>
  <c r="A118" i="1"/>
  <c r="A119" i="1"/>
  <c r="A120" i="1"/>
  <c r="A121" i="1"/>
  <c r="A122" i="1"/>
  <c r="A123" i="1"/>
  <c r="A124" i="1"/>
  <c r="A125" i="1"/>
  <c r="A126" i="1"/>
  <c r="A128" i="1"/>
  <c r="A129" i="1"/>
  <c r="A131" i="1"/>
  <c r="A132" i="1"/>
  <c r="A133" i="1"/>
  <c r="A134" i="1"/>
  <c r="A135" i="1"/>
  <c r="A136" i="1"/>
  <c r="A137" i="1"/>
  <c r="A138" i="1"/>
  <c r="A139" i="1"/>
  <c r="A140" i="1"/>
  <c r="A141" i="1"/>
  <c r="A142" i="1"/>
  <c r="A144" i="1"/>
  <c r="A145" i="1"/>
  <c r="A147" i="1"/>
  <c r="A148" i="1"/>
  <c r="A149" i="1"/>
  <c r="A150" i="1"/>
  <c r="A151" i="1"/>
  <c r="A152" i="1"/>
  <c r="A153" i="1"/>
  <c r="A154" i="1"/>
  <c r="A155" i="1"/>
  <c r="A156" i="1"/>
  <c r="A157" i="1"/>
  <c r="A158" i="1"/>
  <c r="A160" i="1"/>
  <c r="A161" i="1"/>
  <c r="A163" i="1"/>
  <c r="A164" i="1"/>
  <c r="A165" i="1"/>
  <c r="A166" i="1"/>
  <c r="A167" i="1"/>
  <c r="A168" i="1"/>
  <c r="A169" i="1"/>
  <c r="A170" i="1"/>
  <c r="A171" i="1"/>
  <c r="A172" i="1"/>
  <c r="A173" i="1"/>
  <c r="A174" i="1"/>
  <c r="A176" i="1"/>
  <c r="A177" i="1"/>
  <c r="A179" i="1"/>
  <c r="A180" i="1"/>
  <c r="A181" i="1"/>
  <c r="A182" i="1"/>
  <c r="A183" i="1"/>
  <c r="A184" i="1"/>
  <c r="A185" i="1"/>
  <c r="A186" i="1"/>
  <c r="A187" i="1"/>
  <c r="A188" i="1"/>
  <c r="A189" i="1"/>
  <c r="A190" i="1"/>
  <c r="A192" i="1"/>
  <c r="A193" i="1"/>
  <c r="D6" i="4"/>
  <c r="D7" i="4"/>
  <c r="D8" i="4"/>
  <c r="D9" i="4"/>
  <c r="D10" i="4"/>
  <c r="D11" i="4"/>
  <c r="D12" i="4"/>
  <c r="D13" i="4"/>
  <c r="D14" i="4"/>
  <c r="F4" i="2" l="1"/>
  <c r="E5" i="2"/>
  <c r="C8" i="2"/>
  <c r="E8" i="2"/>
  <c r="H15" i="4"/>
  <c r="A10" i="6"/>
  <c r="A6" i="6"/>
  <c r="A9" i="6"/>
  <c r="A8" i="6"/>
  <c r="A7" i="6"/>
  <c r="A11" i="6"/>
  <c r="A5" i="6"/>
  <c r="A4" i="6"/>
  <c r="A3" i="6"/>
  <c r="A2" i="6"/>
  <c r="H3" i="9"/>
  <c r="H2" i="9"/>
  <c r="H4" i="9"/>
  <c r="D12" i="3"/>
  <c r="N15" i="4"/>
  <c r="C15" i="4"/>
  <c r="H193" i="1"/>
  <c r="F193" i="1"/>
  <c r="E193" i="1"/>
  <c r="C193" i="1"/>
  <c r="H192" i="1"/>
  <c r="F192" i="1"/>
  <c r="E192" i="1"/>
  <c r="C192" i="1"/>
  <c r="H191" i="1"/>
  <c r="F191" i="1"/>
  <c r="E191" i="1"/>
  <c r="C191" i="1"/>
  <c r="H190" i="1"/>
  <c r="F190" i="1"/>
  <c r="E190" i="1"/>
  <c r="C190" i="1"/>
  <c r="H189" i="1"/>
  <c r="F189" i="1"/>
  <c r="E189" i="1"/>
  <c r="C189" i="1"/>
  <c r="H188" i="1"/>
  <c r="F188" i="1"/>
  <c r="E188" i="1"/>
  <c r="C188" i="1"/>
  <c r="H187" i="1"/>
  <c r="F187" i="1"/>
  <c r="E187" i="1"/>
  <c r="C187" i="1"/>
  <c r="H186" i="1"/>
  <c r="F186" i="1"/>
  <c r="E186" i="1"/>
  <c r="C186" i="1"/>
  <c r="H185" i="1"/>
  <c r="F185" i="1"/>
  <c r="E185" i="1"/>
  <c r="C185" i="1"/>
  <c r="H184" i="1"/>
  <c r="F184" i="1"/>
  <c r="E184" i="1"/>
  <c r="C184" i="1"/>
  <c r="H183" i="1"/>
  <c r="F183" i="1"/>
  <c r="E183" i="1"/>
  <c r="C183" i="1"/>
  <c r="H182" i="1"/>
  <c r="F182" i="1"/>
  <c r="E182" i="1"/>
  <c r="C182" i="1"/>
  <c r="H181" i="1"/>
  <c r="F181" i="1"/>
  <c r="E181" i="1"/>
  <c r="C181" i="1"/>
  <c r="H180" i="1"/>
  <c r="F180" i="1"/>
  <c r="E180" i="1"/>
  <c r="C180" i="1"/>
  <c r="H179" i="1"/>
  <c r="F179" i="1"/>
  <c r="E179" i="1"/>
  <c r="C179" i="1"/>
  <c r="H178" i="1"/>
  <c r="F178" i="1"/>
  <c r="E178" i="1"/>
  <c r="C178" i="1"/>
  <c r="H177" i="1"/>
  <c r="F177" i="1"/>
  <c r="E177" i="1"/>
  <c r="C177" i="1"/>
  <c r="H176" i="1"/>
  <c r="F176" i="1"/>
  <c r="E176" i="1"/>
  <c r="C176" i="1"/>
  <c r="H175" i="1"/>
  <c r="F175" i="1"/>
  <c r="E175" i="1"/>
  <c r="C175" i="1"/>
  <c r="H174" i="1"/>
  <c r="F174" i="1"/>
  <c r="E174" i="1"/>
  <c r="C174" i="1"/>
  <c r="H173" i="1"/>
  <c r="F173" i="1"/>
  <c r="E173" i="1"/>
  <c r="C173" i="1"/>
  <c r="H172" i="1"/>
  <c r="F172" i="1"/>
  <c r="E172" i="1"/>
  <c r="C172" i="1"/>
  <c r="H171" i="1"/>
  <c r="F171" i="1"/>
  <c r="E171" i="1"/>
  <c r="C171" i="1"/>
  <c r="H170" i="1"/>
  <c r="F170" i="1"/>
  <c r="E170" i="1"/>
  <c r="C170" i="1"/>
  <c r="H169" i="1"/>
  <c r="F169" i="1"/>
  <c r="E169" i="1"/>
  <c r="C169" i="1"/>
  <c r="H168" i="1"/>
  <c r="F168" i="1"/>
  <c r="E168" i="1"/>
  <c r="C168" i="1"/>
  <c r="H167" i="1"/>
  <c r="F167" i="1"/>
  <c r="E167" i="1"/>
  <c r="C167" i="1"/>
  <c r="H166" i="1"/>
  <c r="F166" i="1"/>
  <c r="E166" i="1"/>
  <c r="C166" i="1"/>
  <c r="H165" i="1"/>
  <c r="F165" i="1"/>
  <c r="E165" i="1"/>
  <c r="C165" i="1"/>
  <c r="H164" i="1"/>
  <c r="F164" i="1"/>
  <c r="E164" i="1"/>
  <c r="C164" i="1"/>
  <c r="H163" i="1"/>
  <c r="F163" i="1"/>
  <c r="E163" i="1"/>
  <c r="C163" i="1"/>
  <c r="H162" i="1"/>
  <c r="F162" i="1"/>
  <c r="E162" i="1"/>
  <c r="C162" i="1"/>
  <c r="H161" i="1"/>
  <c r="F161" i="1"/>
  <c r="E161" i="1"/>
  <c r="C161" i="1"/>
  <c r="H160" i="1"/>
  <c r="F160" i="1"/>
  <c r="E160" i="1"/>
  <c r="C160" i="1"/>
  <c r="H159" i="1"/>
  <c r="F159" i="1"/>
  <c r="E159" i="1"/>
  <c r="C159" i="1"/>
  <c r="H158" i="1"/>
  <c r="F158" i="1"/>
  <c r="E158" i="1"/>
  <c r="C158" i="1"/>
  <c r="H157" i="1"/>
  <c r="F157" i="1"/>
  <c r="E157" i="1"/>
  <c r="C157" i="1"/>
  <c r="H156" i="1"/>
  <c r="F156" i="1"/>
  <c r="E156" i="1"/>
  <c r="C156" i="1"/>
  <c r="H155" i="1"/>
  <c r="F155" i="1"/>
  <c r="E155" i="1"/>
  <c r="C155" i="1"/>
  <c r="H154" i="1"/>
  <c r="F154" i="1"/>
  <c r="E154" i="1"/>
  <c r="C154" i="1"/>
  <c r="H153" i="1"/>
  <c r="F153" i="1"/>
  <c r="E153" i="1"/>
  <c r="C153" i="1"/>
  <c r="H152" i="1"/>
  <c r="F152" i="1"/>
  <c r="E152" i="1"/>
  <c r="C152" i="1"/>
  <c r="H151" i="1"/>
  <c r="F151" i="1"/>
  <c r="E151" i="1"/>
  <c r="C151" i="1"/>
  <c r="H150" i="1"/>
  <c r="F150" i="1"/>
  <c r="E150" i="1"/>
  <c r="C150" i="1"/>
  <c r="H149" i="1"/>
  <c r="F149" i="1"/>
  <c r="E149" i="1"/>
  <c r="C149" i="1"/>
  <c r="H148" i="1"/>
  <c r="F148" i="1"/>
  <c r="E148" i="1"/>
  <c r="C148" i="1"/>
  <c r="H147" i="1"/>
  <c r="F147" i="1"/>
  <c r="E147" i="1"/>
  <c r="C147" i="1"/>
  <c r="H146" i="1"/>
  <c r="F146" i="1"/>
  <c r="E146" i="1"/>
  <c r="C146" i="1"/>
  <c r="H145" i="1"/>
  <c r="F145" i="1"/>
  <c r="E145" i="1"/>
  <c r="C145" i="1"/>
  <c r="H144" i="1"/>
  <c r="F144" i="1"/>
  <c r="E144" i="1"/>
  <c r="C144" i="1"/>
  <c r="H143" i="1"/>
  <c r="F143" i="1"/>
  <c r="E143" i="1"/>
  <c r="C143" i="1"/>
  <c r="H142" i="1"/>
  <c r="F142" i="1"/>
  <c r="E142" i="1"/>
  <c r="C142" i="1"/>
  <c r="H141" i="1"/>
  <c r="F141" i="1"/>
  <c r="E141" i="1"/>
  <c r="C141" i="1"/>
  <c r="H140" i="1"/>
  <c r="F140" i="1"/>
  <c r="E140" i="1"/>
  <c r="C140" i="1"/>
  <c r="H139" i="1"/>
  <c r="F139" i="1"/>
  <c r="E139" i="1"/>
  <c r="C139" i="1"/>
  <c r="H138" i="1"/>
  <c r="F138" i="1"/>
  <c r="E138" i="1"/>
  <c r="C138" i="1"/>
  <c r="H137" i="1"/>
  <c r="F137" i="1"/>
  <c r="E137" i="1"/>
  <c r="C137" i="1"/>
  <c r="H136" i="1"/>
  <c r="F136" i="1"/>
  <c r="E136" i="1"/>
  <c r="C136" i="1"/>
  <c r="H135" i="1"/>
  <c r="F135" i="1"/>
  <c r="E135" i="1"/>
  <c r="C135" i="1"/>
  <c r="H134" i="1"/>
  <c r="F134" i="1"/>
  <c r="E134" i="1"/>
  <c r="C134" i="1"/>
  <c r="H133" i="1"/>
  <c r="F133" i="1"/>
  <c r="E133" i="1"/>
  <c r="C133" i="1"/>
  <c r="H132" i="1"/>
  <c r="F132" i="1"/>
  <c r="E132" i="1"/>
  <c r="C132" i="1"/>
  <c r="H131" i="1"/>
  <c r="F131" i="1"/>
  <c r="E131" i="1"/>
  <c r="C131" i="1"/>
  <c r="H130" i="1"/>
  <c r="F130" i="1"/>
  <c r="E130" i="1"/>
  <c r="C130" i="1"/>
  <c r="H129" i="1"/>
  <c r="F129" i="1"/>
  <c r="E129" i="1"/>
  <c r="C129" i="1"/>
  <c r="H128" i="1"/>
  <c r="F128" i="1"/>
  <c r="E128" i="1"/>
  <c r="C128" i="1"/>
  <c r="H127" i="1"/>
  <c r="F127" i="1"/>
  <c r="E127" i="1"/>
  <c r="C127" i="1"/>
  <c r="H126" i="1"/>
  <c r="F126" i="1"/>
  <c r="E126" i="1"/>
  <c r="C126" i="1"/>
  <c r="H125" i="1"/>
  <c r="F125" i="1"/>
  <c r="E125" i="1"/>
  <c r="C125" i="1"/>
  <c r="H124" i="1"/>
  <c r="F124" i="1"/>
  <c r="E124" i="1"/>
  <c r="F123" i="1"/>
  <c r="E123" i="1"/>
  <c r="C123" i="1"/>
  <c r="H122" i="1"/>
  <c r="F122" i="1"/>
  <c r="E122" i="1"/>
  <c r="C122" i="1"/>
  <c r="H121" i="1"/>
  <c r="F121" i="1"/>
  <c r="E121" i="1"/>
  <c r="H120" i="1"/>
  <c r="F120" i="1"/>
  <c r="E120" i="1"/>
  <c r="C120" i="1"/>
  <c r="H119" i="1"/>
  <c r="F119" i="1"/>
  <c r="E119" i="1"/>
  <c r="H118" i="1"/>
  <c r="F118" i="1"/>
  <c r="E118" i="1"/>
  <c r="F117" i="1"/>
  <c r="E117" i="1"/>
  <c r="H116" i="1"/>
  <c r="F116" i="1"/>
  <c r="E116" i="1"/>
  <c r="H115" i="1"/>
  <c r="F115" i="1"/>
  <c r="E115" i="1"/>
  <c r="H114" i="1"/>
  <c r="F114" i="1"/>
  <c r="E114" i="1"/>
  <c r="H113" i="1"/>
  <c r="F113" i="1"/>
  <c r="E113" i="1"/>
  <c r="H112" i="1"/>
  <c r="F112" i="1"/>
  <c r="E112" i="1"/>
  <c r="H111" i="1"/>
  <c r="F111" i="1"/>
  <c r="E111" i="1"/>
  <c r="H110" i="1"/>
  <c r="F110" i="1"/>
  <c r="E110" i="1"/>
  <c r="H109" i="1"/>
  <c r="F109" i="1"/>
  <c r="E109" i="1"/>
  <c r="H108" i="1"/>
  <c r="F108" i="1"/>
  <c r="E108" i="1"/>
  <c r="H107" i="1"/>
  <c r="F107" i="1"/>
  <c r="E107" i="1"/>
  <c r="H106" i="1"/>
  <c r="F106" i="1"/>
  <c r="E106" i="1"/>
  <c r="H105" i="1"/>
  <c r="F105" i="1"/>
  <c r="E105" i="1"/>
  <c r="H104" i="1"/>
  <c r="F104" i="1"/>
  <c r="E104" i="1"/>
  <c r="H103" i="1"/>
  <c r="F103" i="1"/>
  <c r="E103" i="1"/>
  <c r="H102" i="1"/>
  <c r="F102" i="1"/>
  <c r="E102" i="1"/>
  <c r="H101" i="1"/>
  <c r="F101" i="1"/>
  <c r="E101" i="1"/>
  <c r="H100" i="1"/>
  <c r="F100" i="1"/>
  <c r="E100" i="1"/>
  <c r="H99" i="1"/>
  <c r="F99" i="1"/>
  <c r="E99" i="1"/>
  <c r="H98" i="1"/>
  <c r="F98" i="1"/>
  <c r="E98" i="1"/>
  <c r="H97" i="1"/>
  <c r="F97" i="1"/>
  <c r="E97" i="1"/>
  <c r="H96" i="1"/>
  <c r="F96" i="1"/>
  <c r="E96" i="1"/>
  <c r="H95" i="1"/>
  <c r="F95" i="1"/>
  <c r="E95" i="1"/>
  <c r="H94" i="1"/>
  <c r="F94" i="1"/>
  <c r="E94" i="1"/>
  <c r="H93" i="1"/>
  <c r="F93" i="1"/>
  <c r="E93" i="1"/>
  <c r="H92" i="1"/>
  <c r="F92" i="1"/>
  <c r="E92" i="1"/>
  <c r="H91" i="1"/>
  <c r="F91" i="1"/>
  <c r="E91" i="1"/>
  <c r="H90" i="1"/>
  <c r="F90" i="1"/>
  <c r="E90" i="1"/>
  <c r="H89" i="1"/>
  <c r="F89" i="1"/>
  <c r="E89" i="1"/>
  <c r="H88" i="1"/>
  <c r="F88" i="1"/>
  <c r="E88" i="1"/>
  <c r="H87" i="1"/>
  <c r="F87" i="1"/>
  <c r="E87" i="1"/>
  <c r="H86" i="1"/>
  <c r="F86" i="1"/>
  <c r="E86" i="1"/>
  <c r="H85" i="1"/>
  <c r="F85" i="1"/>
  <c r="E85" i="1"/>
  <c r="H84" i="1"/>
  <c r="F84" i="1"/>
  <c r="E84" i="1"/>
  <c r="H83" i="1"/>
  <c r="F83" i="1"/>
  <c r="E83" i="1"/>
  <c r="H82" i="1"/>
  <c r="F82" i="1"/>
  <c r="E82" i="1"/>
  <c r="H81" i="1"/>
  <c r="F81" i="1"/>
  <c r="E81" i="1"/>
  <c r="H80" i="1"/>
  <c r="F80" i="1"/>
  <c r="E80" i="1"/>
  <c r="H79" i="1"/>
  <c r="F79" i="1"/>
  <c r="E79" i="1"/>
  <c r="H78" i="1"/>
  <c r="F78" i="1"/>
  <c r="E78" i="1"/>
  <c r="H77" i="1"/>
  <c r="F77" i="1"/>
  <c r="E77" i="1"/>
  <c r="H76" i="1"/>
  <c r="F76" i="1"/>
  <c r="E76" i="1"/>
  <c r="H75" i="1"/>
  <c r="F75" i="1"/>
  <c r="E75" i="1"/>
  <c r="H74" i="1"/>
  <c r="F74" i="1"/>
  <c r="E74" i="1"/>
  <c r="H73" i="1"/>
  <c r="F73" i="1"/>
  <c r="E73" i="1"/>
  <c r="H72" i="1"/>
  <c r="F72" i="1"/>
  <c r="E72" i="1"/>
  <c r="H71" i="1"/>
  <c r="F71" i="1"/>
  <c r="E71" i="1"/>
  <c r="H70" i="1"/>
  <c r="F70" i="1"/>
  <c r="E70" i="1"/>
  <c r="H69" i="1"/>
  <c r="F69" i="1"/>
  <c r="E69" i="1"/>
  <c r="H68" i="1"/>
  <c r="F68" i="1"/>
  <c r="E68" i="1"/>
  <c r="H67" i="1"/>
  <c r="F67" i="1"/>
  <c r="E67" i="1"/>
  <c r="H66" i="1"/>
  <c r="F66" i="1"/>
  <c r="E66" i="1"/>
  <c r="H65" i="1"/>
  <c r="F65" i="1"/>
  <c r="E65" i="1"/>
  <c r="H64" i="1"/>
  <c r="F64" i="1"/>
  <c r="E64" i="1"/>
  <c r="H63" i="1"/>
  <c r="F63" i="1"/>
  <c r="E63" i="1"/>
  <c r="H62" i="1"/>
  <c r="F62" i="1"/>
  <c r="E62" i="1"/>
  <c r="H61" i="1"/>
  <c r="F61" i="1"/>
  <c r="E61" i="1"/>
  <c r="H60" i="1"/>
  <c r="F60" i="1"/>
  <c r="E60" i="1"/>
  <c r="H59" i="1"/>
  <c r="F59" i="1"/>
  <c r="E59" i="1"/>
  <c r="H58" i="1"/>
  <c r="F58" i="1"/>
  <c r="E58" i="1"/>
  <c r="H57" i="1"/>
  <c r="F57" i="1"/>
  <c r="E57" i="1"/>
  <c r="H56" i="1"/>
  <c r="F56" i="1"/>
  <c r="E56" i="1"/>
  <c r="H55" i="1"/>
  <c r="F55" i="1"/>
  <c r="E55" i="1"/>
  <c r="H54" i="1"/>
  <c r="F54" i="1"/>
  <c r="E54" i="1"/>
  <c r="H53" i="1"/>
  <c r="F53" i="1"/>
  <c r="E53" i="1"/>
  <c r="H52" i="1"/>
  <c r="F52" i="1"/>
  <c r="E52" i="1"/>
  <c r="H51" i="1"/>
  <c r="F51" i="1"/>
  <c r="E51" i="1"/>
  <c r="H50" i="1"/>
  <c r="F50" i="1"/>
  <c r="E50" i="1"/>
  <c r="H49" i="1"/>
  <c r="F49" i="1"/>
  <c r="E49" i="1"/>
  <c r="H48" i="1"/>
  <c r="F48" i="1"/>
  <c r="E48" i="1"/>
  <c r="H47" i="1"/>
  <c r="F47" i="1"/>
  <c r="E47" i="1"/>
  <c r="H46" i="1"/>
  <c r="F46" i="1"/>
  <c r="E46" i="1"/>
  <c r="H45" i="1"/>
  <c r="F45" i="1"/>
  <c r="E45" i="1"/>
  <c r="H44" i="1"/>
  <c r="F44" i="1"/>
  <c r="E44" i="1"/>
  <c r="H43" i="1"/>
  <c r="F43" i="1"/>
  <c r="E43" i="1"/>
  <c r="H42" i="1"/>
  <c r="F42" i="1"/>
  <c r="E42" i="1"/>
  <c r="H41" i="1"/>
  <c r="F41" i="1"/>
  <c r="E41" i="1"/>
  <c r="H40" i="1"/>
  <c r="F40" i="1"/>
  <c r="E40" i="1"/>
  <c r="H39" i="1"/>
  <c r="F39" i="1"/>
  <c r="E39" i="1"/>
  <c r="H38" i="1"/>
  <c r="F38" i="1"/>
  <c r="E38" i="1"/>
  <c r="H37" i="1"/>
  <c r="F37" i="1"/>
  <c r="E37" i="1"/>
  <c r="H36" i="1"/>
  <c r="F36" i="1"/>
  <c r="E36" i="1"/>
  <c r="H35" i="1"/>
  <c r="F35" i="1"/>
  <c r="E35" i="1"/>
  <c r="H34" i="1"/>
  <c r="F34" i="1"/>
  <c r="E34" i="1"/>
  <c r="H33" i="1"/>
  <c r="F33" i="1"/>
  <c r="E33" i="1"/>
  <c r="H32" i="1"/>
  <c r="F32" i="1"/>
  <c r="E32" i="1"/>
  <c r="H31" i="1"/>
  <c r="F31" i="1"/>
  <c r="E31" i="1"/>
  <c r="H30" i="1"/>
  <c r="F30" i="1"/>
  <c r="E30" i="1"/>
  <c r="H29" i="1"/>
  <c r="F29" i="1"/>
  <c r="E29" i="1"/>
  <c r="H28" i="1"/>
  <c r="F28" i="1"/>
  <c r="E28" i="1"/>
  <c r="H27" i="1"/>
  <c r="F27" i="1"/>
  <c r="E27" i="1"/>
  <c r="H26" i="1"/>
  <c r="F26" i="1"/>
  <c r="E26" i="1"/>
  <c r="H25" i="1"/>
  <c r="F25" i="1"/>
  <c r="E25" i="1"/>
  <c r="H24" i="1"/>
  <c r="F24" i="1"/>
  <c r="E24" i="1"/>
  <c r="H23" i="1"/>
  <c r="F23" i="1"/>
  <c r="E23" i="1"/>
  <c r="C23" i="1"/>
  <c r="H22" i="1"/>
  <c r="F22" i="1"/>
  <c r="E22" i="1"/>
  <c r="C22" i="1"/>
  <c r="H21" i="1"/>
  <c r="F21" i="1"/>
  <c r="E21" i="1"/>
  <c r="C21" i="1"/>
  <c r="H20" i="1"/>
  <c r="F20" i="1"/>
  <c r="E20" i="1"/>
  <c r="C20" i="1"/>
  <c r="H19" i="1"/>
  <c r="F19" i="1"/>
  <c r="E19" i="1"/>
  <c r="C19" i="1"/>
  <c r="H18" i="1"/>
  <c r="F18" i="1"/>
  <c r="E18" i="1"/>
  <c r="C18" i="1"/>
  <c r="H17" i="1"/>
  <c r="F17" i="1"/>
  <c r="E17" i="1"/>
  <c r="C17" i="1"/>
  <c r="H16" i="1"/>
  <c r="F16" i="1"/>
  <c r="E16" i="1"/>
  <c r="C16" i="1"/>
  <c r="H15" i="1"/>
  <c r="F15" i="1"/>
  <c r="E15" i="1"/>
  <c r="C15" i="1"/>
  <c r="H14" i="1"/>
  <c r="F14" i="1"/>
  <c r="E14" i="1"/>
  <c r="C14" i="1"/>
  <c r="H13" i="1"/>
  <c r="F13" i="1"/>
  <c r="E13" i="1"/>
  <c r="C13" i="1"/>
  <c r="H12" i="1"/>
  <c r="F12" i="1"/>
  <c r="E12" i="1"/>
  <c r="C12" i="1"/>
  <c r="H11" i="1"/>
  <c r="F11" i="1"/>
  <c r="E11" i="1"/>
  <c r="C11" i="1"/>
  <c r="H10" i="1"/>
  <c r="F10" i="1"/>
  <c r="E10" i="1"/>
  <c r="C10" i="1"/>
  <c r="H9" i="1"/>
  <c r="F9" i="1"/>
  <c r="E9" i="1"/>
  <c r="C9" i="1"/>
  <c r="H8" i="1"/>
  <c r="F8" i="1"/>
  <c r="E8" i="1"/>
  <c r="C8" i="1"/>
  <c r="H7" i="1"/>
  <c r="F7" i="1"/>
  <c r="E7" i="1"/>
  <c r="C7" i="1"/>
  <c r="H6" i="1"/>
  <c r="F6" i="1"/>
  <c r="E6" i="1"/>
  <c r="C6" i="1"/>
  <c r="H5" i="1"/>
  <c r="F5" i="1"/>
  <c r="E5" i="1"/>
  <c r="C5" i="1"/>
  <c r="F4" i="1"/>
  <c r="E4" i="1"/>
  <c r="C4" i="1"/>
  <c r="F3" i="1"/>
  <c r="E3" i="1"/>
  <c r="C3" i="1"/>
  <c r="F2" i="1"/>
  <c r="E2" i="1"/>
  <c r="C2" i="1"/>
  <c r="H3" i="1"/>
  <c r="H4" i="1"/>
  <c r="H2" i="1"/>
  <c r="M15" i="4" l="1"/>
  <c r="J15" i="4"/>
  <c r="K15" i="4"/>
  <c r="L15" i="4"/>
  <c r="I15" i="4"/>
  <c r="O11" i="4"/>
  <c r="P11" i="4" s="1"/>
  <c r="O12" i="4"/>
  <c r="Q12" i="4" s="1"/>
  <c r="O8" i="4"/>
  <c r="P8" i="4" s="1"/>
  <c r="O13" i="4"/>
  <c r="Q13" i="4" s="1"/>
  <c r="F15" i="4"/>
  <c r="E15" i="4"/>
  <c r="D15" i="4"/>
  <c r="O6" i="4"/>
  <c r="P6" i="4" s="1"/>
  <c r="O7" i="4"/>
  <c r="P7" i="4" s="1"/>
  <c r="O10" i="4"/>
  <c r="P10" i="4" s="1"/>
  <c r="O14" i="4"/>
  <c r="Q14" i="4" s="1"/>
  <c r="O9" i="4"/>
  <c r="O5" i="4"/>
  <c r="Q11" i="4" l="1"/>
  <c r="P14" i="4"/>
  <c r="P12" i="4"/>
  <c r="Q8" i="4"/>
  <c r="P13" i="4"/>
  <c r="Q6" i="4"/>
  <c r="Q7" i="4"/>
  <c r="Q10" i="4"/>
  <c r="O15" i="4"/>
  <c r="Q5" i="4"/>
  <c r="P5" i="4"/>
  <c r="P15" i="4" l="1"/>
  <c r="Q15" i="4" s="1"/>
  <c r="G11" i="3"/>
  <c r="C11" i="3"/>
  <c r="E12" i="2" l="1"/>
</calcChain>
</file>

<file path=xl/sharedStrings.xml><?xml version="1.0" encoding="utf-8"?>
<sst xmlns="http://schemas.openxmlformats.org/spreadsheetml/2006/main" count="143" uniqueCount="102">
  <si>
    <t>N° Recibo</t>
  </si>
  <si>
    <t>FechaT</t>
  </si>
  <si>
    <t>Fecha</t>
  </si>
  <si>
    <t>Equipo</t>
  </si>
  <si>
    <t>Semana</t>
  </si>
  <si>
    <t>Mes</t>
  </si>
  <si>
    <t>Pago</t>
  </si>
  <si>
    <t>Cantidad Texto</t>
  </si>
  <si>
    <t>Concepto</t>
  </si>
  <si>
    <t>INTER DE CARTAGENA</t>
  </si>
  <si>
    <t>HEROICOS</t>
  </si>
  <si>
    <t>CLASE APARTE</t>
  </si>
  <si>
    <t>FAMILIA REAL</t>
  </si>
  <si>
    <t>TORNEO SOCORRO</t>
  </si>
  <si>
    <t>SENIOR MASTER PLUS 40</t>
  </si>
  <si>
    <t>N° RECIBO</t>
  </si>
  <si>
    <t>CIUDAD</t>
  </si>
  <si>
    <t>Cartagena</t>
  </si>
  <si>
    <t>FECHA</t>
  </si>
  <si>
    <t>RECIBI DE:</t>
  </si>
  <si>
    <t>$</t>
  </si>
  <si>
    <t>VALOR EN LETRA:</t>
  </si>
  <si>
    <t>CONCEPTO:</t>
  </si>
  <si>
    <t>Saldo</t>
  </si>
  <si>
    <t>QUIEN RECIBE:</t>
  </si>
  <si>
    <t>Comité Organizador</t>
  </si>
  <si>
    <t>FIRMA:</t>
  </si>
  <si>
    <t xml:space="preserve"> </t>
  </si>
  <si>
    <t>Fecha Emision:</t>
  </si>
  <si>
    <t>Deuda:</t>
  </si>
  <si>
    <t>Deuda</t>
  </si>
  <si>
    <t>Pagado</t>
  </si>
  <si>
    <t>%</t>
  </si>
  <si>
    <t>DESCUENTOS</t>
  </si>
  <si>
    <t>PALMO FC</t>
  </si>
  <si>
    <t>Total</t>
  </si>
  <si>
    <t>Carnet</t>
  </si>
  <si>
    <t>Id Equipo</t>
  </si>
  <si>
    <t>LOS AMIGOS</t>
  </si>
  <si>
    <t>Recibi de</t>
  </si>
  <si>
    <t>Abonos</t>
  </si>
  <si>
    <t xml:space="preserve">                                                                                   (Extracto)</t>
  </si>
  <si>
    <t xml:space="preserve">                                                                                      SENIOR MASTER PLUS 40</t>
  </si>
  <si>
    <t xml:space="preserve">                                                            TORNEO SOCORRO</t>
  </si>
  <si>
    <t>ZAMBA</t>
  </si>
  <si>
    <t>Inscripcion 2025 - 2026</t>
  </si>
  <si>
    <t>N°</t>
  </si>
  <si>
    <t>Partidos</t>
  </si>
  <si>
    <t>Equipos</t>
  </si>
  <si>
    <t>Arbitro</t>
  </si>
  <si>
    <t>Balones</t>
  </si>
  <si>
    <t>Dia</t>
  </si>
  <si>
    <t>Liguilla</t>
  </si>
  <si>
    <t>Grupo</t>
  </si>
  <si>
    <t>4° Final</t>
  </si>
  <si>
    <t>Semifinal</t>
  </si>
  <si>
    <t>Final</t>
  </si>
  <si>
    <t>Jugados</t>
  </si>
  <si>
    <t>Sin Jugar</t>
  </si>
  <si>
    <t>NOTA</t>
  </si>
  <si>
    <t>*En esta hoja de excel ingresaremos por equipos el pago de inscripcion, pero ya que se desea separar la parte financiera del torneo con la deportiva entonces aqui se registrara los ingresos de todo el torneo. Creare una lista con los diferentes tipos de conceptos los cuales van a ser desplegables y se podra escoger bajo que concepto se genera un recibo o no. Implementare uno nuevo sistema de codificacion del numero del recibo de tal manera que podramos generar recibos por el total de pago de amarillas, rojas, FOFI, Multas, Inscripciones entre otos conceptos que depronto ahora mismo no tengo En mente.</t>
  </si>
  <si>
    <t>Conceptos</t>
  </si>
  <si>
    <t>Amarillas</t>
  </si>
  <si>
    <t>Rojas</t>
  </si>
  <si>
    <t>Multas</t>
  </si>
  <si>
    <t>FOFI</t>
  </si>
  <si>
    <t>Inscripcion 2026 - 2027</t>
  </si>
  <si>
    <t>Cuando se registre las amarillas o rojas se colocara en la casilla pago, el valor total de amarillas, rojas, FOFI o multas que el equipo  pago en ese fecha. Y asi solo se llevara el control de cuantas se pago en esa fecha por tal concepto el cual deberia coincidir con la tabla que Bryan lleva que es la de amonestados.</t>
  </si>
  <si>
    <t>August</t>
  </si>
  <si>
    <t>September</t>
  </si>
  <si>
    <t>October</t>
  </si>
  <si>
    <t>November</t>
  </si>
  <si>
    <t>December</t>
  </si>
  <si>
    <t>January</t>
  </si>
  <si>
    <t>February</t>
  </si>
  <si>
    <t>March</t>
  </si>
  <si>
    <t>April</t>
  </si>
  <si>
    <t>May</t>
  </si>
  <si>
    <t>June</t>
  </si>
  <si>
    <t>Ingresa numero de la fila a imprimir recibo abajo</t>
  </si>
  <si>
    <t>Codigo Recibo</t>
  </si>
  <si>
    <t>Grand Total</t>
  </si>
  <si>
    <t>01/08/2026</t>
  </si>
  <si>
    <t>Las unicas columnas que vas a tocar son las que estan en color naranja, es decir La columna A, , D, G e I</t>
  </si>
  <si>
    <t>MESA TORNEO SOCORRO 2026 - 2027</t>
  </si>
  <si>
    <t>Saturday</t>
  </si>
  <si>
    <t>Sunday</t>
  </si>
  <si>
    <t>Equipo Pago Fofi</t>
  </si>
  <si>
    <t>`</t>
  </si>
  <si>
    <t>Cal</t>
  </si>
  <si>
    <t>Clase aparte</t>
  </si>
  <si>
    <t>02/08/2026</t>
  </si>
  <si>
    <t>Trescientos Mil Pesos</t>
  </si>
  <si>
    <t>COD</t>
  </si>
  <si>
    <t>Sum of Pago</t>
  </si>
  <si>
    <t>1ra Vuelta y 2da vuelta</t>
  </si>
  <si>
    <t>COLONIA CARMERA</t>
  </si>
  <si>
    <t>GREMIO</t>
  </si>
  <si>
    <t>INS26001</t>
  </si>
  <si>
    <t xml:space="preserve"> TORNEO SOCORRO</t>
  </si>
  <si>
    <t xml:space="preserve"> SENIOR MASTER PLUS 40</t>
  </si>
  <si>
    <t xml:space="preserve"> (Extracto)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</si>
</sst>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 #,##0.00_-;\-&quot;$&quot;\ * #,##0.00_-;_-&quot;$&quot;\ * &quot;-&quot;??_-;_-@_-"/>
    <numFmt numFmtId="164" formatCode="_-&quot;$&quot;* #,##0_-;\-&quot;$&quot;* #,##0_-;_-&quot;$&quot;* &quot;-&quot;_-;_-@"/>
    <numFmt numFmtId="165" formatCode="000"/>
    <numFmt numFmtId="166" formatCode="d\-mmm\-yyyy"/>
    <numFmt numFmtId="167" formatCode="_-&quot;$&quot;\ * #,##0_-;\-&quot;$&quot;\ * #,##0_-;_-&quot;$&quot;\ * &quot;-&quot;??_-;_-@"/>
    <numFmt numFmtId="168" formatCode="&quot;$&quot;\ #,##0"/>
    <numFmt numFmtId="169" formatCode="_-&quot;$&quot;* #,##0_-;\-&quot;$&quot;* #,##0_-;_-&quot;$&quot;* &quot;-&quot;_-;_-@_-"/>
    <numFmt numFmtId="170" formatCode="_-[$$-240A]\ * #,##0_ ;_-[$$-240A]\ * \-#,##0\ ;_-[$$-240A]\ * &quot;-&quot;_ ;_-@_ "/>
    <numFmt numFmtId="174" formatCode="_-&quot;$&quot;\ * #,##0_-;\-&quot;$&quot;\ * #,##0_-;_-&quot;$&quot;\ * &quot;-&quot;??_-;_-@_-"/>
  </numFmts>
  <fonts count="42">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0"/>
      <name val="Calibri"/>
      <family val="2"/>
    </font>
    <font>
      <sz val="11"/>
      <color theme="1"/>
      <name val="Calibri"/>
      <family val="2"/>
    </font>
    <font>
      <b/>
      <sz val="11"/>
      <color theme="1"/>
      <name val="Calibri"/>
      <family val="2"/>
    </font>
    <font>
      <b/>
      <sz val="22"/>
      <color theme="1"/>
      <name val="Arial"/>
      <family val="2"/>
    </font>
    <font>
      <sz val="11"/>
      <name val="Calibri"/>
      <family val="2"/>
    </font>
    <font>
      <b/>
      <sz val="14"/>
      <color theme="1"/>
      <name val="Arial"/>
      <family val="2"/>
    </font>
    <font>
      <b/>
      <sz val="16"/>
      <color theme="1"/>
      <name val="Arial"/>
      <family val="2"/>
    </font>
    <font>
      <b/>
      <sz val="12"/>
      <color theme="1"/>
      <name val="Calibri"/>
      <family val="2"/>
    </font>
    <font>
      <b/>
      <sz val="18"/>
      <color theme="1"/>
      <name val="Arial Black"/>
      <family val="2"/>
    </font>
    <font>
      <b/>
      <sz val="14"/>
      <color theme="0"/>
      <name val="Calibri"/>
      <family val="2"/>
    </font>
    <font>
      <b/>
      <sz val="14"/>
      <color theme="1"/>
      <name val="Calibri"/>
      <family val="2"/>
    </font>
    <font>
      <b/>
      <sz val="14"/>
      <color rgb="FFFF0000"/>
      <name val="Calibri"/>
      <family val="2"/>
    </font>
    <font>
      <sz val="11"/>
      <color theme="1"/>
      <name val="Quintessential"/>
    </font>
    <font>
      <sz val="11"/>
      <color theme="1"/>
      <name val="Calibri"/>
      <family val="2"/>
      <scheme val="minor"/>
    </font>
    <font>
      <b/>
      <sz val="16"/>
      <color theme="1"/>
      <name val="News701 BT"/>
      <family val="1"/>
    </font>
    <font>
      <sz val="11"/>
      <color theme="0"/>
      <name val="Calibri"/>
      <family val="2"/>
    </font>
    <font>
      <sz val="11"/>
      <color rgb="FFFF0000"/>
      <name val="Calibri"/>
      <family val="2"/>
    </font>
    <font>
      <sz val="11"/>
      <color rgb="FF00B050"/>
      <name val="Calibri"/>
      <family val="2"/>
    </font>
    <font>
      <b/>
      <sz val="11"/>
      <color rgb="FF00B050"/>
      <name val="Calibri"/>
      <family val="2"/>
    </font>
    <font>
      <b/>
      <sz val="11"/>
      <color rgb="FFFF0000"/>
      <name val="Calibri"/>
      <family val="2"/>
    </font>
    <font>
      <b/>
      <sz val="24"/>
      <color theme="1"/>
      <name val="News701 BT"/>
      <family val="1"/>
    </font>
    <font>
      <sz val="24"/>
      <color theme="1"/>
      <name val="Calibri"/>
      <family val="2"/>
      <scheme val="minor"/>
    </font>
    <font>
      <b/>
      <sz val="16"/>
      <color theme="1"/>
      <name val="News701 BT"/>
      <family val="1"/>
    </font>
    <font>
      <b/>
      <sz val="14"/>
      <color theme="0"/>
      <name val="Arial"/>
      <family val="2"/>
    </font>
    <font>
      <b/>
      <sz val="14"/>
      <color theme="1"/>
      <name val="Arial"/>
      <family val="2"/>
    </font>
    <font>
      <b/>
      <sz val="14"/>
      <color rgb="FFFF0000"/>
      <name val="Arial"/>
      <family val="2"/>
    </font>
    <font>
      <sz val="11"/>
      <color theme="0"/>
      <name val="Calibri"/>
      <family val="2"/>
      <scheme val="minor"/>
    </font>
    <font>
      <b/>
      <sz val="11"/>
      <color theme="0"/>
      <name val="Calibri"/>
      <family val="2"/>
      <scheme val="minor"/>
    </font>
    <font>
      <sz val="8"/>
      <name val="Calibri"/>
      <family val="2"/>
      <scheme val="minor"/>
    </font>
    <font>
      <sz val="11"/>
      <color rgb="FFFF0000"/>
      <name val="Calibri"/>
      <family val="2"/>
      <scheme val="minor"/>
    </font>
    <font>
      <sz val="36"/>
      <color theme="0"/>
      <name val="Calibri"/>
      <family val="2"/>
    </font>
    <font>
      <sz val="11"/>
      <color theme="0"/>
      <name val="Arial"/>
      <family val="2"/>
    </font>
    <font>
      <b/>
      <sz val="11"/>
      <color theme="1"/>
      <name val="Arial"/>
      <family val="2"/>
    </font>
    <font>
      <b/>
      <sz val="12"/>
      <color theme="1"/>
      <name val="Calibri"/>
      <family val="2"/>
      <scheme val="minor"/>
    </font>
    <font>
      <b/>
      <sz val="14"/>
      <color theme="1"/>
      <name val="Calibri"/>
      <family val="2"/>
      <scheme val="minor"/>
    </font>
    <font>
      <sz val="24"/>
      <color theme="0"/>
      <name val="Calibri"/>
      <family val="2"/>
    </font>
    <font>
      <sz val="11"/>
      <color theme="1"/>
      <name val="Calibri"/>
      <family val="2"/>
      <scheme val="minor"/>
    </font>
  </fonts>
  <fills count="17">
    <fill>
      <patternFill patternType="none"/>
    </fill>
    <fill>
      <patternFill patternType="gray125"/>
    </fill>
    <fill>
      <patternFill patternType="solid">
        <fgColor rgb="FF0070C0"/>
        <bgColor rgb="FF0070C0"/>
      </patternFill>
    </fill>
    <fill>
      <patternFill patternType="solid">
        <fgColor theme="0"/>
        <bgColor theme="0"/>
      </patternFill>
    </fill>
    <fill>
      <patternFill patternType="solid">
        <fgColor rgb="FFFF0000"/>
        <bgColor rgb="FFFF0000"/>
      </patternFill>
    </fill>
    <fill>
      <patternFill patternType="solid">
        <fgColor rgb="FF7030A0"/>
        <bgColor rgb="FF7030A0"/>
      </patternFill>
    </fill>
    <fill>
      <patternFill patternType="solid">
        <fgColor rgb="FFF4B083"/>
        <bgColor rgb="FFF4B083"/>
      </patternFill>
    </fill>
    <fill>
      <patternFill patternType="solid">
        <fgColor theme="0"/>
        <bgColor indexed="64"/>
      </patternFill>
    </fill>
    <fill>
      <patternFill patternType="solid">
        <fgColor rgb="FFFF0000"/>
        <bgColor indexed="64"/>
      </patternFill>
    </fill>
    <fill>
      <patternFill patternType="solid">
        <fgColor rgb="FF7030A0"/>
        <bgColor indexed="64"/>
      </patternFill>
    </fill>
    <fill>
      <patternFill patternType="solid">
        <fgColor rgb="FF2F5496"/>
        <bgColor rgb="FF2F5496"/>
      </patternFill>
    </fill>
    <fill>
      <patternFill patternType="solid">
        <fgColor rgb="FF00B0F0"/>
        <bgColor rgb="FF00B0F0"/>
      </patternFill>
    </fill>
    <fill>
      <patternFill patternType="solid">
        <fgColor rgb="FFFFFF00"/>
        <bgColor rgb="FFFFFF00"/>
      </patternFill>
    </fill>
    <fill>
      <patternFill patternType="solid">
        <fgColor rgb="FF00B050"/>
        <bgColor rgb="FF00B050"/>
      </patternFill>
    </fill>
    <fill>
      <patternFill patternType="solid">
        <fgColor rgb="FFFFC000"/>
        <bgColor rgb="FFFFC000"/>
      </patternFill>
    </fill>
    <fill>
      <patternFill patternType="solid">
        <fgColor theme="5" tint="0.59999389629810485"/>
        <bgColor theme="0"/>
      </patternFill>
    </fill>
    <fill>
      <patternFill patternType="solid">
        <fgColor theme="5" tint="0.59999389629810485"/>
        <bgColor indexed="64"/>
      </patternFill>
    </fill>
  </fills>
  <borders count="116">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style="double">
        <color rgb="FF000000"/>
      </left>
      <right/>
      <top style="double">
        <color rgb="FF000000"/>
      </top>
      <bottom/>
      <diagonal/>
    </border>
    <border>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style="double">
        <color rgb="FF000000"/>
      </right>
      <top/>
      <bottom/>
      <diagonal/>
    </border>
    <border>
      <left/>
      <right/>
      <top/>
      <bottom/>
      <diagonal/>
    </border>
    <border>
      <left/>
      <right style="double">
        <color rgb="FF000000"/>
      </right>
      <top/>
      <bottom style="double">
        <color rgb="FF000000"/>
      </bottom>
      <diagonal/>
    </border>
    <border>
      <left style="double">
        <color rgb="FF000000"/>
      </left>
      <right style="thin">
        <color rgb="FF000000"/>
      </right>
      <top style="double">
        <color rgb="FF000000"/>
      </top>
      <bottom/>
      <diagonal/>
    </border>
    <border>
      <left style="thin">
        <color rgb="FF000000"/>
      </left>
      <right style="thin">
        <color rgb="FF000000"/>
      </right>
      <top style="double">
        <color rgb="FF000000"/>
      </top>
      <bottom/>
      <diagonal/>
    </border>
    <border>
      <left style="thin">
        <color rgb="FF000000"/>
      </left>
      <right style="thin">
        <color rgb="FF000000"/>
      </right>
      <top style="double">
        <color rgb="FF000000"/>
      </top>
      <bottom/>
      <diagonal/>
    </border>
    <border>
      <left style="thin">
        <color rgb="FF000000"/>
      </left>
      <right/>
      <top style="double">
        <color rgb="FF000000"/>
      </top>
      <bottom style="thin">
        <color rgb="FF000000"/>
      </bottom>
      <diagonal/>
    </border>
    <border>
      <left/>
      <right style="double">
        <color rgb="FF000000"/>
      </right>
      <top style="double">
        <color rgb="FF000000"/>
      </top>
      <bottom style="thin">
        <color rgb="FF000000"/>
      </bottom>
      <diagonal/>
    </border>
    <border>
      <left style="double">
        <color rgb="FF000000"/>
      </left>
      <right/>
      <top style="thin">
        <color rgb="FF000000"/>
      </top>
      <bottom style="thin">
        <color rgb="FF000000"/>
      </bottom>
      <diagonal/>
    </border>
    <border>
      <left/>
      <right/>
      <top style="thin">
        <color rgb="FF000000"/>
      </top>
      <bottom style="thin">
        <color rgb="FF000000"/>
      </bottom>
      <diagonal/>
    </border>
    <border>
      <left/>
      <right style="double">
        <color rgb="FF000000"/>
      </right>
      <top style="thin">
        <color rgb="FF000000"/>
      </top>
      <bottom style="thin">
        <color rgb="FF000000"/>
      </bottom>
      <diagonal/>
    </border>
    <border>
      <left style="double">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double">
        <color rgb="FF000000"/>
      </left>
      <right/>
      <top style="thin">
        <color rgb="FF000000"/>
      </top>
      <bottom style="double">
        <color rgb="FF000000"/>
      </bottom>
      <diagonal/>
    </border>
    <border>
      <left/>
      <right/>
      <top style="thin">
        <color rgb="FF000000"/>
      </top>
      <bottom style="double">
        <color rgb="FF000000"/>
      </bottom>
      <diagonal/>
    </border>
    <border>
      <left/>
      <right style="double">
        <color rgb="FF000000"/>
      </right>
      <top style="thin">
        <color rgb="FF000000"/>
      </top>
      <bottom style="double">
        <color rgb="FF000000"/>
      </bottom>
      <diagonal/>
    </border>
    <border>
      <left/>
      <right/>
      <top style="double">
        <color rgb="FF000000"/>
      </top>
      <bottom style="thin">
        <color rgb="FF000000"/>
      </bottom>
      <diagonal/>
    </border>
    <border>
      <left style="double">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double">
        <color rgb="FF000000"/>
      </right>
      <top style="thin">
        <color rgb="FF000000"/>
      </top>
      <bottom/>
      <diagonal/>
    </border>
    <border>
      <left style="double">
        <color rgb="FF000000"/>
      </left>
      <right style="thin">
        <color rgb="FF000000"/>
      </right>
      <top/>
      <bottom style="double">
        <color rgb="FF000000"/>
      </bottom>
      <diagonal/>
    </border>
    <border>
      <left style="thin">
        <color rgb="FF000000"/>
      </left>
      <right/>
      <top/>
      <bottom style="double">
        <color rgb="FF000000"/>
      </bottom>
      <diagonal/>
    </border>
    <border>
      <left/>
      <right/>
      <top/>
      <bottom style="double">
        <color rgb="FF000000"/>
      </bottom>
      <diagonal/>
    </border>
    <border>
      <left/>
      <right style="double">
        <color rgb="FF000000"/>
      </right>
      <top/>
      <bottom/>
      <diagonal/>
    </border>
    <border>
      <left/>
      <right style="double">
        <color rgb="FF000000"/>
      </right>
      <top/>
      <bottom style="double">
        <color rgb="FF000000"/>
      </bottom>
      <diagonal/>
    </border>
    <border>
      <left style="double">
        <color rgb="FF000000"/>
      </left>
      <right style="double">
        <color rgb="FF000000"/>
      </right>
      <top/>
      <bottom style="double">
        <color rgb="FF000000"/>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right/>
      <top style="double">
        <color rgb="FF000000"/>
      </top>
      <bottom/>
      <diagonal/>
    </border>
    <border>
      <left style="double">
        <color rgb="FF000000"/>
      </left>
      <right style="thin">
        <color rgb="FFFF0000"/>
      </right>
      <top style="thin">
        <color rgb="FF000000"/>
      </top>
      <bottom style="double">
        <color rgb="FF000000"/>
      </bottom>
      <diagonal/>
    </border>
    <border>
      <left style="thin">
        <color rgb="FF000000"/>
      </left>
      <right style="thin">
        <color rgb="FF000000"/>
      </right>
      <top style="thin">
        <color rgb="FF000000"/>
      </top>
      <bottom style="double">
        <color rgb="FF000000"/>
      </bottom>
      <diagonal/>
    </border>
    <border>
      <left/>
      <right style="thin">
        <color rgb="FF000000"/>
      </right>
      <top style="thin">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thin">
        <color rgb="FF000000"/>
      </left>
      <right style="thin">
        <color rgb="FF000000"/>
      </right>
      <top style="double">
        <color rgb="FF000000"/>
      </top>
      <bottom style="double">
        <color rgb="FF000000"/>
      </bottom>
      <diagonal/>
    </border>
    <border>
      <left/>
      <right style="thin">
        <color rgb="FF000000"/>
      </right>
      <top/>
      <bottom style="double">
        <color rgb="FF000000"/>
      </bottom>
      <diagonal/>
    </border>
    <border>
      <left/>
      <right style="medium">
        <color rgb="FF000000"/>
      </right>
      <top/>
      <bottom style="thin">
        <color rgb="FF000000"/>
      </bottom>
      <diagonal/>
    </border>
    <border>
      <left/>
      <right style="double">
        <color rgb="FF000000"/>
      </right>
      <top/>
      <bottom/>
      <diagonal/>
    </border>
    <border>
      <left/>
      <right style="medium">
        <color rgb="FF000000"/>
      </right>
      <top style="thin">
        <color rgb="FF000000"/>
      </top>
      <bottom style="thin">
        <color rgb="FF000000"/>
      </bottom>
      <diagonal/>
    </border>
    <border>
      <left style="double">
        <color rgb="FF000000"/>
      </left>
      <right style="double">
        <color rgb="FF000000"/>
      </right>
      <top/>
      <bottom/>
      <diagonal/>
    </border>
    <border>
      <left/>
      <right style="medium">
        <color rgb="FF000000"/>
      </right>
      <top style="thin">
        <color rgb="FF000000"/>
      </top>
      <bottom style="thin">
        <color rgb="FF000000"/>
      </bottom>
      <diagonal/>
    </border>
    <border>
      <left/>
      <right style="medium">
        <color rgb="FF000000"/>
      </right>
      <top style="thin">
        <color rgb="FF000000"/>
      </top>
      <bottom style="medium">
        <color rgb="FF000000"/>
      </bottom>
      <diagonal/>
    </border>
    <border>
      <left/>
      <right style="double">
        <color rgb="FF000000"/>
      </right>
      <top style="double">
        <color rgb="FF000000"/>
      </top>
      <bottom style="double">
        <color rgb="FF000000"/>
      </bottom>
      <diagonal/>
    </border>
    <border>
      <left style="thin">
        <color rgb="FF000000"/>
      </left>
      <right style="thin">
        <color rgb="FF000000"/>
      </right>
      <top/>
      <bottom style="double">
        <color rgb="FF000000"/>
      </bottom>
      <diagonal/>
    </border>
    <border>
      <left/>
      <right style="thin">
        <color rgb="FF000000"/>
      </right>
      <top/>
      <bottom style="double">
        <color rgb="FF000000"/>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top/>
      <bottom style="thin">
        <color theme="0"/>
      </bottom>
      <diagonal/>
    </border>
    <border>
      <left/>
      <right style="double">
        <color indexed="64"/>
      </right>
      <top/>
      <bottom/>
      <diagonal/>
    </border>
    <border>
      <left style="double">
        <color indexed="64"/>
      </left>
      <right/>
      <top style="thin">
        <color indexed="64"/>
      </top>
      <bottom style="thin">
        <color indexed="64"/>
      </bottom>
      <diagonal/>
    </border>
    <border>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double">
        <color indexed="64"/>
      </right>
      <top/>
      <bottom style="thin">
        <color indexed="64"/>
      </bottom>
      <diagonal/>
    </border>
    <border>
      <left style="double">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double">
        <color indexed="64"/>
      </right>
      <top/>
      <bottom style="thin">
        <color indexed="64"/>
      </bottom>
      <diagonal/>
    </border>
    <border>
      <left style="double">
        <color indexed="64"/>
      </left>
      <right/>
      <top/>
      <bottom style="double">
        <color indexed="64"/>
      </bottom>
      <diagonal/>
    </border>
    <border>
      <left/>
      <right style="double">
        <color indexed="64"/>
      </right>
      <top/>
      <bottom style="double">
        <color indexed="64"/>
      </bottom>
      <diagonal/>
    </border>
    <border>
      <left/>
      <right/>
      <top/>
      <bottom style="double">
        <color indexed="64"/>
      </bottom>
      <diagonal/>
    </border>
    <border>
      <left style="double">
        <color indexed="64"/>
      </left>
      <right style="double">
        <color indexed="64"/>
      </right>
      <top/>
      <bottom style="double">
        <color indexed="64"/>
      </bottom>
      <diagonal/>
    </border>
    <border>
      <left style="double">
        <color indexed="64"/>
      </left>
      <right style="double">
        <color indexed="64"/>
      </right>
      <top/>
      <bottom/>
      <diagonal/>
    </border>
    <border>
      <left style="thin">
        <color rgb="FF000000"/>
      </left>
      <right/>
      <top/>
      <bottom/>
      <diagonal/>
    </border>
    <border>
      <left/>
      <right/>
      <top/>
      <bottom style="thin">
        <color rgb="FF000000"/>
      </bottom>
      <diagonal/>
    </border>
    <border>
      <left style="medium">
        <color rgb="FF000000"/>
      </left>
      <right/>
      <top style="medium">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rgb="FF000000"/>
      </left>
      <right style="thin">
        <color rgb="FF000000"/>
      </right>
      <top/>
      <bottom style="double">
        <color indexed="64"/>
      </bottom>
      <diagonal/>
    </border>
    <border>
      <left style="double">
        <color indexed="64"/>
      </left>
      <right style="double">
        <color indexed="64"/>
      </right>
      <top style="double">
        <color indexed="64"/>
      </top>
      <bottom style="double">
        <color indexed="64"/>
      </bottom>
      <diagonal/>
    </border>
    <border>
      <left style="thin">
        <color rgb="FF000000"/>
      </left>
      <right/>
      <top style="thin">
        <color rgb="FF000000"/>
      </top>
      <bottom style="double">
        <color rgb="FF000000"/>
      </bottom>
      <diagonal/>
    </border>
    <border>
      <left style="double">
        <color indexed="64"/>
      </left>
      <right/>
      <top style="thin">
        <color rgb="FF000000"/>
      </top>
      <bottom style="double">
        <color rgb="FF000000"/>
      </bottom>
      <diagonal/>
    </border>
    <border>
      <left/>
      <right style="double">
        <color indexed="64"/>
      </right>
      <top style="thin">
        <color rgb="FF000000"/>
      </top>
      <bottom style="double">
        <color rgb="FF000000"/>
      </bottom>
      <diagonal/>
    </border>
    <border>
      <left style="double">
        <color indexed="64"/>
      </left>
      <right style="thin">
        <color rgb="FF000000"/>
      </right>
      <top style="double">
        <color rgb="FF000000"/>
      </top>
      <bottom style="double">
        <color rgb="FF000000"/>
      </bottom>
      <diagonal/>
    </border>
    <border>
      <left style="double">
        <color indexed="64"/>
      </left>
      <right style="double">
        <color indexed="64"/>
      </right>
      <top style="double">
        <color indexed="64"/>
      </top>
      <bottom/>
      <diagonal/>
    </border>
    <border>
      <left style="double">
        <color rgb="FF000000"/>
      </left>
      <right style="thin">
        <color rgb="FF000000"/>
      </right>
      <top/>
      <bottom/>
      <diagonal/>
    </border>
    <border>
      <left style="thin">
        <color rgb="FF000000"/>
      </left>
      <right style="double">
        <color indexed="64"/>
      </right>
      <top style="double">
        <color rgb="FF000000"/>
      </top>
      <bottom/>
      <diagonal/>
    </border>
    <border>
      <left style="double">
        <color indexed="64"/>
      </left>
      <right/>
      <top/>
      <bottom style="thin">
        <color rgb="FF000000"/>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style="thin">
        <color theme="0"/>
      </right>
      <top/>
      <bottom style="thin">
        <color theme="0"/>
      </bottom>
      <diagonal/>
    </border>
  </borders>
  <cellStyleXfs count="5">
    <xf numFmtId="0" fontId="0" fillId="0" borderId="0"/>
    <xf numFmtId="169" fontId="4" fillId="0" borderId="12" applyFont="0" applyFill="0" applyBorder="0" applyAlignment="0" applyProtection="0"/>
    <xf numFmtId="0" fontId="3" fillId="0" borderId="12"/>
    <xf numFmtId="44" fontId="3" fillId="0" borderId="12" applyFont="0" applyFill="0" applyBorder="0" applyAlignment="0" applyProtection="0"/>
    <xf numFmtId="44" fontId="41" fillId="0" borderId="0" applyFont="0" applyFill="0" applyBorder="0" applyAlignment="0" applyProtection="0"/>
  </cellStyleXfs>
  <cellXfs count="252">
    <xf numFmtId="0" fontId="0" fillId="0" borderId="0" xfId="0"/>
    <xf numFmtId="14" fontId="5" fillId="2" borderId="1" xfId="0" applyNumberFormat="1" applyFont="1" applyFill="1" applyBorder="1" applyAlignment="1">
      <alignment horizontal="center" vertical="center"/>
    </xf>
    <xf numFmtId="49" fontId="5" fillId="2" borderId="2" xfId="0" applyNumberFormat="1" applyFont="1" applyFill="1" applyBorder="1" applyAlignment="1">
      <alignment horizontal="center" vertical="center"/>
    </xf>
    <xf numFmtId="164" fontId="5" fillId="2" borderId="1" xfId="0" applyNumberFormat="1" applyFont="1" applyFill="1" applyBorder="1" applyAlignment="1">
      <alignment horizontal="center" vertical="center"/>
    </xf>
    <xf numFmtId="164" fontId="5" fillId="2" borderId="3" xfId="0" applyNumberFormat="1" applyFont="1" applyFill="1" applyBorder="1" applyAlignment="1">
      <alignment horizontal="center"/>
    </xf>
    <xf numFmtId="0" fontId="6" fillId="3" borderId="2" xfId="0" applyFont="1" applyFill="1" applyBorder="1" applyAlignment="1">
      <alignment horizontal="center"/>
    </xf>
    <xf numFmtId="0" fontId="6" fillId="0" borderId="1" xfId="0" applyFont="1" applyBorder="1" applyAlignment="1">
      <alignment horizontal="center"/>
    </xf>
    <xf numFmtId="0" fontId="6" fillId="0" borderId="1" xfId="0" applyFont="1" applyBorder="1" applyAlignment="1">
      <alignment horizontal="center" vertical="center"/>
    </xf>
    <xf numFmtId="0" fontId="6" fillId="3" borderId="2" xfId="0" applyFont="1" applyFill="1" applyBorder="1" applyAlignment="1">
      <alignment horizontal="center" vertical="center"/>
    </xf>
    <xf numFmtId="0" fontId="6" fillId="0" borderId="0" xfId="0" applyFont="1" applyAlignment="1">
      <alignment horizontal="center" vertical="center"/>
    </xf>
    <xf numFmtId="14" fontId="6" fillId="3" borderId="2" xfId="0" applyNumberFormat="1" applyFont="1" applyFill="1" applyBorder="1" applyAlignment="1">
      <alignment horizontal="center"/>
    </xf>
    <xf numFmtId="0" fontId="6" fillId="3" borderId="1" xfId="0" applyFont="1" applyFill="1" applyBorder="1" applyAlignment="1">
      <alignment horizontal="center"/>
    </xf>
    <xf numFmtId="0" fontId="6" fillId="0" borderId="0" xfId="0" applyFont="1" applyAlignment="1">
      <alignment horizontal="center"/>
    </xf>
    <xf numFmtId="0" fontId="6" fillId="0" borderId="4" xfId="0" applyFont="1" applyBorder="1"/>
    <xf numFmtId="0" fontId="6" fillId="0" borderId="8" xfId="0" applyFont="1" applyBorder="1"/>
    <xf numFmtId="0" fontId="11" fillId="3" borderId="12" xfId="0" applyFont="1" applyFill="1" applyBorder="1" applyAlignment="1">
      <alignment horizontal="center"/>
    </xf>
    <xf numFmtId="0" fontId="12" fillId="0" borderId="0" xfId="0" applyFont="1" applyAlignment="1">
      <alignment horizontal="center" vertical="center"/>
    </xf>
    <xf numFmtId="165" fontId="13" fillId="0" borderId="13" xfId="0" applyNumberFormat="1" applyFont="1" applyBorder="1" applyAlignment="1">
      <alignment horizontal="center" vertical="center"/>
    </xf>
    <xf numFmtId="0" fontId="5" fillId="4" borderId="14" xfId="0" applyFont="1" applyFill="1" applyBorder="1" applyAlignment="1">
      <alignment horizontal="center" vertical="center"/>
    </xf>
    <xf numFmtId="0" fontId="6" fillId="0" borderId="15" xfId="0" applyFont="1" applyBorder="1" applyAlignment="1">
      <alignment horizontal="center"/>
    </xf>
    <xf numFmtId="0" fontId="5" fillId="4" borderId="16" xfId="0" applyFont="1" applyFill="1" applyBorder="1" applyAlignment="1">
      <alignment horizontal="center"/>
    </xf>
    <xf numFmtId="0" fontId="5" fillId="4" borderId="22" xfId="0" applyFont="1" applyFill="1" applyBorder="1" applyAlignment="1">
      <alignment horizontal="left" vertical="center"/>
    </xf>
    <xf numFmtId="0" fontId="6" fillId="0" borderId="23" xfId="0" applyFont="1" applyBorder="1" applyAlignment="1">
      <alignment horizontal="center" vertical="center"/>
    </xf>
    <xf numFmtId="0" fontId="14" fillId="4" borderId="1" xfId="0" applyFont="1" applyFill="1" applyBorder="1" applyAlignment="1">
      <alignment horizontal="center" vertical="center"/>
    </xf>
    <xf numFmtId="0" fontId="18" fillId="0" borderId="0" xfId="0" applyFont="1"/>
    <xf numFmtId="14" fontId="20" fillId="0" borderId="41" xfId="0" applyNumberFormat="1" applyFont="1" applyBorder="1"/>
    <xf numFmtId="15" fontId="6" fillId="0" borderId="42" xfId="0" applyNumberFormat="1" applyFont="1" applyBorder="1" applyAlignment="1">
      <alignment horizontal="center" vertical="center"/>
    </xf>
    <xf numFmtId="15" fontId="6" fillId="0" borderId="24" xfId="0" applyNumberFormat="1" applyFont="1" applyBorder="1" applyAlignment="1">
      <alignment horizontal="center" vertical="center"/>
    </xf>
    <xf numFmtId="15" fontId="6" fillId="0" borderId="25" xfId="0" applyNumberFormat="1" applyFont="1" applyBorder="1" applyAlignment="1">
      <alignment horizontal="center" vertical="center"/>
    </xf>
    <xf numFmtId="0" fontId="6" fillId="0" borderId="43" xfId="0" applyFont="1" applyBorder="1" applyAlignment="1">
      <alignment horizontal="center" vertical="center"/>
    </xf>
    <xf numFmtId="0" fontId="6" fillId="0" borderId="44" xfId="0" applyFont="1" applyBorder="1" applyAlignment="1">
      <alignment horizontal="center" vertical="center"/>
    </xf>
    <xf numFmtId="0" fontId="6" fillId="3" borderId="45"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36" xfId="0" applyFont="1" applyFill="1" applyBorder="1" applyAlignment="1">
      <alignment horizontal="center" vertical="center"/>
    </xf>
    <xf numFmtId="0" fontId="7" fillId="3" borderId="37" xfId="0" applyFont="1" applyFill="1" applyBorder="1" applyAlignment="1">
      <alignment horizontal="center" vertical="center"/>
    </xf>
    <xf numFmtId="167" fontId="7" fillId="0" borderId="47" xfId="0" applyNumberFormat="1" applyFont="1" applyBorder="1"/>
    <xf numFmtId="167" fontId="24" fillId="0" borderId="35" xfId="0" applyNumberFormat="1" applyFont="1" applyBorder="1"/>
    <xf numFmtId="9" fontId="6" fillId="0" borderId="39" xfId="0" applyNumberFormat="1" applyFont="1" applyBorder="1" applyAlignment="1">
      <alignment horizontal="center" vertical="center"/>
    </xf>
    <xf numFmtId="167" fontId="7" fillId="0" borderId="49" xfId="0" applyNumberFormat="1" applyFont="1" applyBorder="1"/>
    <xf numFmtId="167" fontId="21" fillId="6" borderId="12" xfId="0" applyNumberFormat="1" applyFont="1" applyFill="1" applyBorder="1"/>
    <xf numFmtId="167" fontId="7" fillId="6" borderId="51" xfId="0" applyNumberFormat="1" applyFont="1" applyFill="1" applyBorder="1"/>
    <xf numFmtId="167" fontId="24" fillId="6" borderId="48" xfId="0" applyNumberFormat="1" applyFont="1" applyFill="1" applyBorder="1"/>
    <xf numFmtId="9" fontId="6" fillId="6" borderId="50" xfId="0" applyNumberFormat="1" applyFont="1" applyFill="1" applyBorder="1" applyAlignment="1">
      <alignment horizontal="center" vertical="center"/>
    </xf>
    <xf numFmtId="167" fontId="7" fillId="0" borderId="52" xfId="0" applyNumberFormat="1" applyFont="1" applyBorder="1"/>
    <xf numFmtId="167" fontId="24" fillId="0" borderId="13" xfId="0" applyNumberFormat="1" applyFont="1" applyBorder="1"/>
    <xf numFmtId="9" fontId="6" fillId="0" borderId="38" xfId="0" applyNumberFormat="1" applyFont="1" applyBorder="1" applyAlignment="1">
      <alignment horizontal="center" vertical="center"/>
    </xf>
    <xf numFmtId="0" fontId="7" fillId="0" borderId="44" xfId="0" applyFont="1" applyBorder="1" applyAlignment="1">
      <alignment horizontal="center" vertical="center"/>
    </xf>
    <xf numFmtId="167" fontId="7" fillId="0" borderId="34" xfId="0" applyNumberFormat="1" applyFont="1" applyBorder="1"/>
    <xf numFmtId="167" fontId="7" fillId="0" borderId="53" xfId="0" applyNumberFormat="1" applyFont="1" applyBorder="1"/>
    <xf numFmtId="167" fontId="7" fillId="0" borderId="54" xfId="0" applyNumberFormat="1" applyFont="1" applyBorder="1"/>
    <xf numFmtId="167" fontId="22" fillId="0" borderId="33" xfId="0" applyNumberFormat="1" applyFont="1" applyBorder="1"/>
    <xf numFmtId="167" fontId="7" fillId="0" borderId="55" xfId="0" applyNumberFormat="1" applyFont="1" applyBorder="1"/>
    <xf numFmtId="9" fontId="6" fillId="0" borderId="44" xfId="0" applyNumberFormat="1" applyFont="1" applyBorder="1" applyAlignment="1">
      <alignment horizontal="center" vertical="center"/>
    </xf>
    <xf numFmtId="0" fontId="21" fillId="0" borderId="1" xfId="0" applyFont="1" applyBorder="1" applyAlignment="1">
      <alignment horizontal="center" vertical="center"/>
    </xf>
    <xf numFmtId="0" fontId="0" fillId="8" borderId="62" xfId="0" applyFill="1" applyBorder="1" applyAlignment="1">
      <alignment horizontal="left"/>
    </xf>
    <xf numFmtId="0" fontId="0" fillId="8" borderId="63" xfId="0" applyFill="1" applyBorder="1"/>
    <xf numFmtId="0" fontId="0" fillId="8" borderId="64" xfId="0" applyFill="1" applyBorder="1"/>
    <xf numFmtId="0" fontId="0" fillId="7" borderId="62" xfId="0" applyFill="1" applyBorder="1" applyAlignment="1">
      <alignment horizontal="left"/>
    </xf>
    <xf numFmtId="0" fontId="0" fillId="7" borderId="63" xfId="0" applyFill="1" applyBorder="1"/>
    <xf numFmtId="0" fontId="0" fillId="7" borderId="64" xfId="0" applyFill="1" applyBorder="1"/>
    <xf numFmtId="0" fontId="28" fillId="9" borderId="65" xfId="0" applyFont="1" applyFill="1" applyBorder="1" applyAlignment="1">
      <alignment horizontal="left"/>
    </xf>
    <xf numFmtId="0" fontId="28" fillId="9" borderId="69" xfId="0" applyFont="1" applyFill="1" applyBorder="1" applyAlignment="1">
      <alignment horizontal="left"/>
    </xf>
    <xf numFmtId="0" fontId="28" fillId="9" borderId="0" xfId="0" applyFont="1" applyFill="1" applyAlignment="1">
      <alignment horizontal="center" vertical="center"/>
    </xf>
    <xf numFmtId="168" fontId="30" fillId="7" borderId="71" xfId="1" applyNumberFormat="1" applyFont="1" applyFill="1" applyBorder="1" applyAlignment="1" applyProtection="1">
      <alignment vertical="top" wrapText="1"/>
    </xf>
    <xf numFmtId="0" fontId="0" fillId="8" borderId="72" xfId="0" applyFill="1" applyBorder="1" applyAlignment="1">
      <alignment horizontal="left"/>
    </xf>
    <xf numFmtId="0" fontId="0" fillId="8" borderId="74" xfId="0" applyFill="1" applyBorder="1"/>
    <xf numFmtId="0" fontId="0" fillId="8" borderId="73" xfId="0" applyFill="1" applyBorder="1"/>
    <xf numFmtId="0" fontId="25" fillId="7" borderId="57" xfId="0" applyFont="1" applyFill="1" applyBorder="1" applyAlignment="1">
      <alignment horizontal="center" vertical="center"/>
    </xf>
    <xf numFmtId="0" fontId="0" fillId="7" borderId="57" xfId="0" applyFill="1" applyBorder="1" applyAlignment="1">
      <alignment horizontal="center" vertical="center"/>
    </xf>
    <xf numFmtId="0" fontId="26" fillId="7" borderId="57" xfId="0" applyFont="1" applyFill="1" applyBorder="1" applyAlignment="1">
      <alignment horizontal="center" vertical="center"/>
    </xf>
    <xf numFmtId="0" fontId="26" fillId="7" borderId="58" xfId="0" applyFont="1" applyFill="1" applyBorder="1" applyAlignment="1">
      <alignment horizontal="center" vertical="center"/>
    </xf>
    <xf numFmtId="0" fontId="27" fillId="7" borderId="0" xfId="0" applyFont="1" applyFill="1" applyAlignment="1">
      <alignment horizontal="center" vertical="center"/>
    </xf>
    <xf numFmtId="0" fontId="0" fillId="7" borderId="60" xfId="0" applyFill="1" applyBorder="1" applyAlignment="1">
      <alignment horizontal="center" vertical="center"/>
    </xf>
    <xf numFmtId="0" fontId="0" fillId="7" borderId="0" xfId="0" applyFill="1" applyAlignment="1">
      <alignment horizontal="center" vertical="center"/>
    </xf>
    <xf numFmtId="0" fontId="0" fillId="7" borderId="61" xfId="0" applyFill="1" applyBorder="1" applyAlignment="1">
      <alignment horizontal="center" vertical="center"/>
    </xf>
    <xf numFmtId="0" fontId="0" fillId="7" borderId="56" xfId="0" applyFill="1" applyBorder="1" applyAlignment="1">
      <alignment horizontal="center" vertical="center"/>
    </xf>
    <xf numFmtId="0" fontId="0" fillId="7" borderId="59" xfId="0" applyFill="1" applyBorder="1" applyAlignment="1">
      <alignment horizontal="center" vertical="center"/>
    </xf>
    <xf numFmtId="0" fontId="0" fillId="0" borderId="73" xfId="0" applyBorder="1"/>
    <xf numFmtId="0" fontId="0" fillId="0" borderId="12" xfId="0" applyBorder="1"/>
    <xf numFmtId="0" fontId="0" fillId="9" borderId="74" xfId="0" applyFill="1" applyBorder="1"/>
    <xf numFmtId="168" fontId="0" fillId="0" borderId="76" xfId="0" applyNumberFormat="1" applyBorder="1"/>
    <xf numFmtId="0" fontId="0" fillId="9" borderId="73" xfId="0" applyFill="1" applyBorder="1"/>
    <xf numFmtId="0" fontId="0" fillId="9" borderId="0" xfId="0" applyFill="1" applyAlignment="1">
      <alignment horizontal="center"/>
    </xf>
    <xf numFmtId="0" fontId="29" fillId="7" borderId="67" xfId="0" applyFont="1" applyFill="1" applyBorder="1" applyAlignment="1">
      <alignment horizontal="center"/>
    </xf>
    <xf numFmtId="0" fontId="29" fillId="7" borderId="68" xfId="0" applyFont="1" applyFill="1" applyBorder="1" applyAlignment="1">
      <alignment horizontal="center"/>
    </xf>
    <xf numFmtId="14" fontId="29" fillId="7" borderId="66" xfId="0" applyNumberFormat="1" applyFont="1" applyFill="1" applyBorder="1" applyAlignment="1">
      <alignment horizontal="center"/>
    </xf>
    <xf numFmtId="0" fontId="6" fillId="0" borderId="2" xfId="0" applyFont="1" applyBorder="1" applyAlignment="1">
      <alignment horizontal="center"/>
    </xf>
    <xf numFmtId="0" fontId="31" fillId="9" borderId="72" xfId="0" applyFont="1" applyFill="1" applyBorder="1"/>
    <xf numFmtId="168" fontId="31" fillId="9" borderId="75" xfId="0" applyNumberFormat="1" applyFont="1" applyFill="1" applyBorder="1"/>
    <xf numFmtId="0" fontId="32" fillId="9" borderId="75" xfId="0" applyFont="1" applyFill="1" applyBorder="1"/>
    <xf numFmtId="0" fontId="31" fillId="9" borderId="75" xfId="0" applyFont="1" applyFill="1" applyBorder="1"/>
    <xf numFmtId="0" fontId="6" fillId="0" borderId="12" xfId="2" applyFont="1" applyAlignment="1">
      <alignment horizontal="center" vertical="center"/>
    </xf>
    <xf numFmtId="0" fontId="3" fillId="0" borderId="12" xfId="2"/>
    <xf numFmtId="0" fontId="3" fillId="0" borderId="12" xfId="2"/>
    <xf numFmtId="0" fontId="6" fillId="0" borderId="12" xfId="2" applyFont="1" applyAlignment="1">
      <alignment horizontal="center" vertical="center"/>
    </xf>
    <xf numFmtId="0" fontId="6" fillId="11" borderId="12" xfId="2" applyFont="1" applyFill="1" applyBorder="1" applyAlignment="1">
      <alignment horizontal="center" vertical="center"/>
    </xf>
    <xf numFmtId="0" fontId="6" fillId="12" borderId="12" xfId="2" applyFont="1" applyFill="1" applyBorder="1" applyAlignment="1">
      <alignment horizontal="center" vertical="center"/>
    </xf>
    <xf numFmtId="0" fontId="6" fillId="13" borderId="12" xfId="2" applyFont="1" applyFill="1" applyBorder="1" applyAlignment="1">
      <alignment horizontal="center"/>
    </xf>
    <xf numFmtId="0" fontId="6" fillId="14" borderId="12" xfId="2" applyFont="1" applyFill="1" applyBorder="1" applyAlignment="1">
      <alignment horizontal="center"/>
    </xf>
    <xf numFmtId="0" fontId="36" fillId="4" borderId="12" xfId="2" applyFont="1" applyFill="1" applyBorder="1" applyAlignment="1">
      <alignment horizontal="center"/>
    </xf>
    <xf numFmtId="0" fontId="37" fillId="0" borderId="12" xfId="2" applyFont="1" applyAlignment="1">
      <alignment horizontal="center"/>
    </xf>
    <xf numFmtId="0" fontId="6" fillId="0" borderId="12" xfId="2" applyFont="1"/>
    <xf numFmtId="0" fontId="3" fillId="0" borderId="12" xfId="2" applyAlignment="1">
      <alignment horizontal="center" vertical="center"/>
    </xf>
    <xf numFmtId="0" fontId="6" fillId="0" borderId="12" xfId="2" applyFont="1" applyAlignment="1">
      <alignment horizontal="center"/>
    </xf>
    <xf numFmtId="0" fontId="3" fillId="0" borderId="88" xfId="0" applyFont="1" applyBorder="1"/>
    <xf numFmtId="0" fontId="34" fillId="0" borderId="88" xfId="0" applyFont="1" applyBorder="1" applyAlignment="1">
      <alignment horizontal="center" vertical="center"/>
    </xf>
    <xf numFmtId="0" fontId="0" fillId="0" borderId="0" xfId="0" applyAlignment="1">
      <alignment horizontal="center" vertical="center"/>
    </xf>
    <xf numFmtId="167" fontId="7" fillId="0" borderId="97" xfId="0" applyNumberFormat="1" applyFont="1" applyBorder="1"/>
    <xf numFmtId="167" fontId="22" fillId="0" borderId="36" xfId="0" applyNumberFormat="1" applyFont="1" applyBorder="1"/>
    <xf numFmtId="15" fontId="6" fillId="0" borderId="99" xfId="0" applyNumberFormat="1" applyFont="1" applyBorder="1" applyAlignment="1">
      <alignment horizontal="center" vertical="center"/>
    </xf>
    <xf numFmtId="167" fontId="22" fillId="0" borderId="12" xfId="0" applyNumberFormat="1" applyFont="1" applyBorder="1"/>
    <xf numFmtId="15" fontId="6" fillId="0" borderId="100" xfId="0" applyNumberFormat="1" applyFont="1" applyBorder="1" applyAlignment="1">
      <alignment horizontal="center" vertical="center"/>
    </xf>
    <xf numFmtId="15" fontId="6" fillId="0" borderId="101" xfId="0" applyNumberFormat="1" applyFont="1" applyBorder="1" applyAlignment="1">
      <alignment horizontal="center" vertical="center"/>
    </xf>
    <xf numFmtId="0" fontId="6" fillId="3" borderId="102" xfId="0" applyFont="1" applyFill="1" applyBorder="1" applyAlignment="1">
      <alignment horizontal="center" vertical="center"/>
    </xf>
    <xf numFmtId="0" fontId="6" fillId="3" borderId="3" xfId="0" applyFont="1" applyFill="1" applyBorder="1" applyAlignment="1">
      <alignment horizontal="center" vertical="center"/>
    </xf>
    <xf numFmtId="167" fontId="22" fillId="0" borderId="103" xfId="0" applyNumberFormat="1" applyFont="1" applyBorder="1"/>
    <xf numFmtId="167" fontId="22" fillId="0" borderId="76" xfId="0" applyNumberFormat="1" applyFont="1" applyBorder="1"/>
    <xf numFmtId="167" fontId="22" fillId="0" borderId="75" xfId="0" applyNumberFormat="1" applyFont="1" applyBorder="1"/>
    <xf numFmtId="167" fontId="21" fillId="6" borderId="76" xfId="0" applyNumberFormat="1" applyFont="1" applyFill="1" applyBorder="1"/>
    <xf numFmtId="0" fontId="6" fillId="0" borderId="8" xfId="0" applyFont="1" applyBorder="1" applyAlignment="1">
      <alignment horizontal="center" vertical="center"/>
    </xf>
    <xf numFmtId="0" fontId="21" fillId="6" borderId="8" xfId="0" applyFont="1" applyFill="1" applyBorder="1" applyAlignment="1">
      <alignment horizontal="center" vertical="center"/>
    </xf>
    <xf numFmtId="0" fontId="6" fillId="3" borderId="104" xfId="0" applyFont="1" applyFill="1" applyBorder="1" applyAlignment="1">
      <alignment horizontal="center" vertical="center"/>
    </xf>
    <xf numFmtId="167" fontId="21" fillId="0" borderId="103" xfId="0" applyNumberFormat="1" applyFont="1" applyBorder="1"/>
    <xf numFmtId="167" fontId="21" fillId="0" borderId="76" xfId="0" applyNumberFormat="1" applyFont="1" applyBorder="1"/>
    <xf numFmtId="167" fontId="21" fillId="0" borderId="75" xfId="0" applyNumberFormat="1" applyFont="1" applyBorder="1"/>
    <xf numFmtId="0" fontId="6" fillId="3" borderId="77" xfId="0" applyFont="1" applyFill="1" applyBorder="1" applyAlignment="1">
      <alignment horizontal="center" vertical="center"/>
    </xf>
    <xf numFmtId="164" fontId="23" fillId="3" borderId="76" xfId="0" applyNumberFormat="1" applyFont="1" applyFill="1" applyBorder="1"/>
    <xf numFmtId="167" fontId="22" fillId="0" borderId="74" xfId="0" applyNumberFormat="1" applyFont="1" applyBorder="1"/>
    <xf numFmtId="0" fontId="6" fillId="3" borderId="16" xfId="0" applyFont="1" applyFill="1" applyBorder="1" applyAlignment="1">
      <alignment horizontal="center" vertical="center"/>
    </xf>
    <xf numFmtId="0" fontId="6" fillId="3" borderId="105" xfId="0" applyFont="1" applyFill="1" applyBorder="1" applyAlignment="1">
      <alignment horizontal="center" vertical="center"/>
    </xf>
    <xf numFmtId="167" fontId="22" fillId="6" borderId="76" xfId="0" applyNumberFormat="1" applyFont="1" applyFill="1" applyBorder="1"/>
    <xf numFmtId="165" fontId="13" fillId="0" borderId="98" xfId="0" applyNumberFormat="1" applyFont="1" applyBorder="1" applyAlignment="1">
      <alignment horizontal="center" vertical="center"/>
    </xf>
    <xf numFmtId="0" fontId="39" fillId="0" borderId="98" xfId="0" applyFont="1" applyBorder="1" applyAlignment="1">
      <alignment horizontal="center" vertical="center"/>
    </xf>
    <xf numFmtId="0" fontId="28" fillId="9" borderId="72" xfId="0" applyFont="1" applyFill="1" applyBorder="1"/>
    <xf numFmtId="0" fontId="0" fillId="0" borderId="88" xfId="0" applyBorder="1" applyAlignment="1">
      <alignment horizontal="center" vertical="center"/>
    </xf>
    <xf numFmtId="165" fontId="6" fillId="15" borderId="1" xfId="0" applyNumberFormat="1" applyFont="1" applyFill="1" applyBorder="1" applyAlignment="1">
      <alignment horizontal="center" vertical="center"/>
    </xf>
    <xf numFmtId="15" fontId="6" fillId="15" borderId="2" xfId="0" applyNumberFormat="1" applyFont="1" applyFill="1" applyBorder="1" applyAlignment="1">
      <alignment horizontal="center"/>
    </xf>
    <xf numFmtId="0" fontId="6" fillId="16" borderId="1" xfId="0" applyFont="1" applyFill="1" applyBorder="1" applyAlignment="1">
      <alignment horizontal="center"/>
    </xf>
    <xf numFmtId="164" fontId="7" fillId="15" borderId="1" xfId="0" applyNumberFormat="1" applyFont="1" applyFill="1" applyBorder="1"/>
    <xf numFmtId="0" fontId="6" fillId="16" borderId="1" xfId="0" applyFont="1" applyFill="1" applyBorder="1" applyAlignment="1">
      <alignment horizontal="center" vertical="center"/>
    </xf>
    <xf numFmtId="0" fontId="6" fillId="15" borderId="1" xfId="0" applyFont="1" applyFill="1" applyBorder="1" applyAlignment="1">
      <alignment horizontal="center" vertical="center"/>
    </xf>
    <xf numFmtId="14" fontId="0" fillId="0" borderId="0" xfId="0" applyNumberFormat="1"/>
    <xf numFmtId="0" fontId="2" fillId="0" borderId="88" xfId="0" applyFont="1" applyBorder="1"/>
    <xf numFmtId="14" fontId="0" fillId="0" borderId="88" xfId="0" applyNumberFormat="1" applyBorder="1"/>
    <xf numFmtId="0" fontId="3" fillId="7" borderId="12" xfId="2" applyFill="1"/>
    <xf numFmtId="0" fontId="6" fillId="7" borderId="12" xfId="2" applyFont="1" applyFill="1" applyAlignment="1">
      <alignment horizontal="center" vertical="center"/>
    </xf>
    <xf numFmtId="170" fontId="6" fillId="0" borderId="88" xfId="2" applyNumberFormat="1" applyFont="1" applyBorder="1" applyAlignment="1">
      <alignment horizontal="center" vertical="center"/>
    </xf>
    <xf numFmtId="0" fontId="0" fillId="16" borderId="88" xfId="0" applyFill="1" applyBorder="1" applyAlignment="1">
      <alignment horizontal="center" vertical="center"/>
    </xf>
    <xf numFmtId="0" fontId="6" fillId="0" borderId="23" xfId="2" applyFont="1" applyBorder="1" applyAlignment="1">
      <alignment horizontal="center" vertical="center"/>
    </xf>
    <xf numFmtId="0" fontId="6" fillId="7" borderId="88" xfId="2" applyFont="1" applyFill="1" applyBorder="1" applyAlignment="1">
      <alignment horizontal="center" vertical="center"/>
    </xf>
    <xf numFmtId="15" fontId="6" fillId="16" borderId="88" xfId="2" applyNumberFormat="1" applyFont="1" applyFill="1" applyBorder="1" applyAlignment="1">
      <alignment horizontal="center" vertical="center"/>
    </xf>
    <xf numFmtId="170" fontId="6" fillId="16" borderId="88" xfId="2" applyNumberFormat="1" applyFont="1" applyFill="1" applyBorder="1" applyAlignment="1">
      <alignment horizontal="center" vertical="center"/>
    </xf>
    <xf numFmtId="0" fontId="7" fillId="0" borderId="79" xfId="2" applyFont="1" applyBorder="1" applyAlignment="1">
      <alignment horizontal="center" vertical="center"/>
    </xf>
    <xf numFmtId="0" fontId="7" fillId="16" borderId="88" xfId="2" applyFont="1" applyFill="1" applyBorder="1" applyAlignment="1">
      <alignment horizontal="center" vertical="center"/>
    </xf>
    <xf numFmtId="0" fontId="7" fillId="7" borderId="88" xfId="2" applyFont="1" applyFill="1" applyBorder="1" applyAlignment="1">
      <alignment horizontal="center" vertical="center"/>
    </xf>
    <xf numFmtId="0" fontId="7" fillId="16" borderId="108" xfId="2" applyFont="1" applyFill="1" applyBorder="1" applyAlignment="1">
      <alignment horizontal="center" vertical="center"/>
    </xf>
    <xf numFmtId="0" fontId="7" fillId="0" borderId="108" xfId="2" applyFont="1" applyBorder="1" applyAlignment="1">
      <alignment horizontal="center" vertical="center"/>
    </xf>
    <xf numFmtId="0" fontId="7" fillId="0" borderId="108" xfId="2" applyFont="1" applyFill="1" applyBorder="1" applyAlignment="1">
      <alignment horizontal="center" vertical="center"/>
    </xf>
    <xf numFmtId="0" fontId="1" fillId="0" borderId="88" xfId="0" applyFont="1" applyBorder="1"/>
    <xf numFmtId="0" fontId="0" fillId="0" borderId="0" xfId="0" applyAlignment="1">
      <alignment horizontal="center"/>
    </xf>
    <xf numFmtId="0" fontId="6" fillId="0" borderId="88" xfId="2" applyFont="1" applyBorder="1"/>
    <xf numFmtId="0" fontId="6" fillId="0" borderId="88" xfId="2" applyFont="1" applyBorder="1" applyAlignment="1">
      <alignment horizontal="center" vertical="center"/>
    </xf>
    <xf numFmtId="0" fontId="3" fillId="0" borderId="88" xfId="2" applyBorder="1" applyAlignment="1">
      <alignment horizontal="center" vertical="center"/>
    </xf>
    <xf numFmtId="0" fontId="6" fillId="0" borderId="88" xfId="2" applyFont="1" applyBorder="1" applyAlignment="1">
      <alignment horizontal="center"/>
    </xf>
    <xf numFmtId="0" fontId="37" fillId="0" borderId="88" xfId="2" applyFont="1" applyBorder="1" applyAlignment="1">
      <alignment horizontal="center"/>
    </xf>
    <xf numFmtId="0" fontId="3" fillId="0" borderId="0" xfId="0" applyFont="1" applyAlignment="1">
      <alignment horizontal="center"/>
    </xf>
    <xf numFmtId="0" fontId="0" fillId="0" borderId="0" xfId="0" applyAlignment="1">
      <alignment horizontal="center"/>
    </xf>
    <xf numFmtId="0" fontId="38" fillId="0" borderId="80" xfId="0" applyFont="1" applyBorder="1" applyAlignment="1">
      <alignment horizontal="left" vertical="center" wrapText="1"/>
    </xf>
    <xf numFmtId="0" fontId="38" fillId="0" borderId="81" xfId="0" applyFont="1" applyBorder="1" applyAlignment="1">
      <alignment horizontal="left" vertical="center" wrapText="1"/>
    </xf>
    <xf numFmtId="0" fontId="38" fillId="0" borderId="82" xfId="0" applyFont="1" applyBorder="1" applyAlignment="1">
      <alignment horizontal="left" vertical="center" wrapText="1"/>
    </xf>
    <xf numFmtId="0" fontId="38" fillId="0" borderId="83" xfId="0" applyFont="1" applyBorder="1" applyAlignment="1">
      <alignment horizontal="left" vertical="center" wrapText="1"/>
    </xf>
    <xf numFmtId="0" fontId="38" fillId="0" borderId="12" xfId="0" applyFont="1" applyBorder="1" applyAlignment="1">
      <alignment horizontal="left" vertical="center" wrapText="1"/>
    </xf>
    <xf numFmtId="0" fontId="38" fillId="0" borderId="84" xfId="0" applyFont="1" applyBorder="1" applyAlignment="1">
      <alignment horizontal="left" vertical="center" wrapText="1"/>
    </xf>
    <xf numFmtId="0" fontId="38" fillId="0" borderId="85" xfId="0" applyFont="1" applyBorder="1" applyAlignment="1">
      <alignment horizontal="left" vertical="center" wrapText="1"/>
    </xf>
    <xf numFmtId="0" fontId="38" fillId="0" borderId="86" xfId="0" applyFont="1" applyBorder="1" applyAlignment="1">
      <alignment horizontal="left" vertical="center" wrapText="1"/>
    </xf>
    <xf numFmtId="0" fontId="38" fillId="0" borderId="87" xfId="0" applyFont="1" applyBorder="1" applyAlignment="1">
      <alignment horizontal="left" vertical="center" wrapText="1"/>
    </xf>
    <xf numFmtId="0" fontId="38" fillId="0" borderId="89" xfId="0" applyFont="1" applyBorder="1" applyAlignment="1">
      <alignment horizontal="left" vertical="center" wrapText="1"/>
    </xf>
    <xf numFmtId="0" fontId="38" fillId="0" borderId="90" xfId="0" applyFont="1" applyBorder="1" applyAlignment="1">
      <alignment horizontal="left" vertical="center" wrapText="1"/>
    </xf>
    <xf numFmtId="0" fontId="38" fillId="0" borderId="91" xfId="0" applyFont="1" applyBorder="1" applyAlignment="1">
      <alignment horizontal="left" vertical="center" wrapText="1"/>
    </xf>
    <xf numFmtId="0" fontId="38" fillId="0" borderId="92" xfId="0" applyFont="1" applyBorder="1" applyAlignment="1">
      <alignment horizontal="left" vertical="center" wrapText="1"/>
    </xf>
    <xf numFmtId="0" fontId="38" fillId="0" borderId="88" xfId="0" applyFont="1" applyBorder="1" applyAlignment="1">
      <alignment horizontal="left" vertical="center" wrapText="1"/>
    </xf>
    <xf numFmtId="0" fontId="38" fillId="0" borderId="93" xfId="0" applyFont="1" applyBorder="1" applyAlignment="1">
      <alignment horizontal="left" vertical="center" wrapText="1"/>
    </xf>
    <xf numFmtId="0" fontId="38" fillId="0" borderId="94" xfId="0" applyFont="1" applyBorder="1" applyAlignment="1">
      <alignment horizontal="left" vertical="center" wrapText="1"/>
    </xf>
    <xf numFmtId="0" fontId="38" fillId="0" borderId="95" xfId="0" applyFont="1" applyBorder="1" applyAlignment="1">
      <alignment horizontal="left" vertical="center" wrapText="1"/>
    </xf>
    <xf numFmtId="0" fontId="38" fillId="0" borderId="96" xfId="0" applyFont="1" applyBorder="1" applyAlignment="1">
      <alignment horizontal="left" vertical="center" wrapText="1"/>
    </xf>
    <xf numFmtId="0" fontId="39" fillId="0" borderId="88" xfId="0" applyFont="1" applyBorder="1" applyAlignment="1">
      <alignment horizontal="center" vertical="center" wrapText="1"/>
    </xf>
    <xf numFmtId="1" fontId="15" fillId="0" borderId="4" xfId="0" applyNumberFormat="1" applyFont="1" applyBorder="1" applyAlignment="1">
      <alignment horizontal="center" vertical="center"/>
    </xf>
    <xf numFmtId="0" fontId="9" fillId="0" borderId="40" xfId="0" applyFont="1" applyBorder="1"/>
    <xf numFmtId="1" fontId="15" fillId="0" borderId="56" xfId="0" applyNumberFormat="1" applyFont="1" applyBorder="1" applyAlignment="1">
      <alignment horizontal="center" vertical="center"/>
    </xf>
    <xf numFmtId="0" fontId="9" fillId="0" borderId="57" xfId="0" applyFont="1" applyBorder="1"/>
    <xf numFmtId="0" fontId="9" fillId="0" borderId="58" xfId="0" applyFont="1" applyBorder="1"/>
    <xf numFmtId="1" fontId="15" fillId="0" borderId="106" xfId="0" applyNumberFormat="1" applyFont="1" applyBorder="1" applyAlignment="1">
      <alignment horizontal="center" vertical="center"/>
    </xf>
    <xf numFmtId="1" fontId="15" fillId="0" borderId="78" xfId="0" applyNumberFormat="1" applyFont="1" applyBorder="1" applyAlignment="1">
      <alignment horizontal="center" vertical="center"/>
    </xf>
    <xf numFmtId="0" fontId="29" fillId="0" borderId="59" xfId="0" applyFont="1" applyBorder="1" applyAlignment="1">
      <alignment horizontal="center"/>
    </xf>
    <xf numFmtId="0" fontId="29" fillId="0" borderId="12" xfId="0" applyFont="1" applyBorder="1" applyAlignment="1">
      <alignment horizontal="center"/>
    </xf>
    <xf numFmtId="0" fontId="29" fillId="0" borderId="61" xfId="0" applyFont="1" applyBorder="1" applyAlignment="1">
      <alignment horizontal="center"/>
    </xf>
    <xf numFmtId="0" fontId="30" fillId="7" borderId="70" xfId="0" applyFont="1" applyFill="1" applyBorder="1" applyAlignment="1">
      <alignment horizontal="center"/>
    </xf>
    <xf numFmtId="0" fontId="30" fillId="7" borderId="63" xfId="0" applyFont="1" applyFill="1" applyBorder="1" applyAlignment="1">
      <alignment horizontal="center"/>
    </xf>
    <xf numFmtId="0" fontId="30" fillId="7" borderId="107" xfId="0" applyFont="1" applyFill="1" applyBorder="1" applyAlignment="1">
      <alignment horizontal="center"/>
    </xf>
    <xf numFmtId="0" fontId="5" fillId="4" borderId="28" xfId="0" applyFont="1" applyFill="1" applyBorder="1" applyAlignment="1">
      <alignment horizontal="left" vertical="center"/>
    </xf>
    <xf numFmtId="0" fontId="9" fillId="0" borderId="32" xfId="0" applyFont="1" applyBorder="1"/>
    <xf numFmtId="0" fontId="6" fillId="0" borderId="29" xfId="0" applyFont="1" applyBorder="1" applyAlignment="1">
      <alignment horizontal="center"/>
    </xf>
    <xf numFmtId="0" fontId="9" fillId="0" borderId="30" xfId="0" applyFont="1" applyBorder="1"/>
    <xf numFmtId="0" fontId="9" fillId="0" borderId="31" xfId="0" applyFont="1" applyBorder="1"/>
    <xf numFmtId="0" fontId="9" fillId="0" borderId="33" xfId="0" applyFont="1" applyBorder="1"/>
    <xf numFmtId="0" fontId="9" fillId="0" borderId="34" xfId="0" applyFont="1" applyBorder="1"/>
    <xf numFmtId="0" fontId="9" fillId="0" borderId="13" xfId="0" applyFont="1" applyBorder="1"/>
    <xf numFmtId="0" fontId="8" fillId="3" borderId="5" xfId="0" applyFont="1" applyFill="1" applyBorder="1" applyAlignment="1">
      <alignment horizontal="center"/>
    </xf>
    <xf numFmtId="0" fontId="9" fillId="0" borderId="6" xfId="0" applyFont="1" applyBorder="1"/>
    <xf numFmtId="0" fontId="9" fillId="0" borderId="7" xfId="0" applyFont="1" applyBorder="1"/>
    <xf numFmtId="0" fontId="10" fillId="3" borderId="9" xfId="0" applyFont="1" applyFill="1" applyBorder="1" applyAlignment="1">
      <alignment horizontal="center"/>
    </xf>
    <xf numFmtId="0" fontId="9" fillId="0" borderId="10" xfId="0" applyFont="1" applyBorder="1"/>
    <xf numFmtId="0" fontId="9" fillId="0" borderId="11" xfId="0" applyFont="1" applyBorder="1"/>
    <xf numFmtId="166" fontId="6" fillId="3" borderId="17" xfId="0" applyNumberFormat="1" applyFont="1" applyFill="1" applyBorder="1" applyAlignment="1">
      <alignment horizontal="center"/>
    </xf>
    <xf numFmtId="0" fontId="9" fillId="0" borderId="18" xfId="0" applyFont="1" applyBorder="1"/>
    <xf numFmtId="0" fontId="6" fillId="5" borderId="19" xfId="0" applyFont="1" applyFill="1" applyBorder="1" applyAlignment="1">
      <alignment horizontal="center"/>
    </xf>
    <xf numFmtId="0" fontId="9" fillId="0" borderId="20" xfId="0" applyFont="1" applyBorder="1"/>
    <xf numFmtId="0" fontId="9" fillId="0" borderId="21" xfId="0" applyFont="1" applyBorder="1"/>
    <xf numFmtId="0" fontId="6" fillId="0" borderId="19" xfId="0" applyFont="1" applyBorder="1" applyAlignment="1">
      <alignment horizontal="center"/>
    </xf>
    <xf numFmtId="167" fontId="15" fillId="0" borderId="23" xfId="0" applyNumberFormat="1" applyFont="1" applyBorder="1" applyAlignment="1">
      <alignment vertical="center"/>
    </xf>
    <xf numFmtId="0" fontId="6" fillId="3" borderId="19" xfId="0" applyFont="1" applyFill="1" applyBorder="1" applyAlignment="1">
      <alignment horizontal="center"/>
    </xf>
    <xf numFmtId="0" fontId="6" fillId="0" borderId="23" xfId="0" applyFont="1" applyBorder="1" applyAlignment="1">
      <alignment horizontal="center"/>
    </xf>
    <xf numFmtId="167" fontId="16" fillId="0" borderId="23" xfId="0" applyNumberFormat="1" applyFont="1" applyBorder="1" applyAlignment="1">
      <alignment horizontal="center" vertical="center"/>
    </xf>
    <xf numFmtId="0" fontId="7" fillId="3" borderId="24" xfId="0" applyFont="1" applyFill="1" applyBorder="1" applyAlignment="1">
      <alignment horizontal="center" vertical="center"/>
    </xf>
    <xf numFmtId="0" fontId="9" fillId="0" borderId="25" xfId="0" applyFont="1" applyBorder="1"/>
    <xf numFmtId="0" fontId="9" fillId="0" borderId="26" xfId="0" applyFont="1" applyBorder="1"/>
    <xf numFmtId="0" fontId="17" fillId="0" borderId="17" xfId="0" applyFont="1" applyBorder="1" applyAlignment="1">
      <alignment horizontal="center"/>
    </xf>
    <xf numFmtId="0" fontId="9" fillId="0" borderId="27" xfId="0" applyFont="1" applyBorder="1"/>
    <xf numFmtId="0" fontId="35" fillId="10" borderId="12" xfId="2" applyFont="1" applyFill="1" applyBorder="1" applyAlignment="1">
      <alignment horizontal="center" vertical="center"/>
    </xf>
    <xf numFmtId="0" fontId="35" fillId="10" borderId="78" xfId="2" applyFont="1" applyFill="1" applyBorder="1" applyAlignment="1">
      <alignment horizontal="center" vertical="center"/>
    </xf>
    <xf numFmtId="0" fontId="5" fillId="10" borderId="30" xfId="2" applyFont="1" applyFill="1" applyBorder="1" applyAlignment="1">
      <alignment horizontal="center" vertical="center"/>
    </xf>
    <xf numFmtId="0" fontId="40" fillId="10" borderId="109" xfId="2" applyFont="1" applyFill="1" applyBorder="1" applyAlignment="1">
      <alignment horizontal="center" vertical="center"/>
    </xf>
    <xf numFmtId="0" fontId="40" fillId="10" borderId="110" xfId="2" applyFont="1" applyFill="1" applyBorder="1" applyAlignment="1">
      <alignment horizontal="center" vertical="center"/>
    </xf>
    <xf numFmtId="0" fontId="40" fillId="10" borderId="111" xfId="2" applyFont="1" applyFill="1" applyBorder="1" applyAlignment="1">
      <alignment horizontal="center" vertical="center"/>
    </xf>
    <xf numFmtId="0" fontId="40" fillId="10" borderId="112" xfId="2" applyFont="1" applyFill="1" applyBorder="1" applyAlignment="1">
      <alignment horizontal="center" vertical="center"/>
    </xf>
    <xf numFmtId="0" fontId="40" fillId="10" borderId="12" xfId="2" applyFont="1" applyFill="1" applyBorder="1" applyAlignment="1">
      <alignment horizontal="center" vertical="center"/>
    </xf>
    <xf numFmtId="0" fontId="40" fillId="10" borderId="113" xfId="2" applyFont="1" applyFill="1" applyBorder="1" applyAlignment="1">
      <alignment horizontal="center" vertical="center"/>
    </xf>
    <xf numFmtId="0" fontId="40" fillId="10" borderId="114" xfId="2" applyFont="1" applyFill="1" applyBorder="1" applyAlignment="1">
      <alignment horizontal="center" vertical="center"/>
    </xf>
    <xf numFmtId="0" fontId="40" fillId="10" borderId="60" xfId="2" applyFont="1" applyFill="1" applyBorder="1" applyAlignment="1">
      <alignment horizontal="center" vertical="center"/>
    </xf>
    <xf numFmtId="0" fontId="40" fillId="10" borderId="115" xfId="2" applyFont="1" applyFill="1" applyBorder="1" applyAlignment="1">
      <alignment horizontal="center" vertical="center"/>
    </xf>
    <xf numFmtId="0" fontId="0" fillId="0" borderId="0" xfId="0" pivotButton="1"/>
    <xf numFmtId="165" fontId="0" fillId="0" borderId="59" xfId="0" applyNumberFormat="1" applyBorder="1" applyAlignment="1">
      <alignment horizontal="center" vertical="center"/>
    </xf>
    <xf numFmtId="165" fontId="0" fillId="0" borderId="75" xfId="0" applyNumberFormat="1" applyBorder="1" applyAlignment="1">
      <alignment horizontal="center" vertical="center"/>
    </xf>
    <xf numFmtId="0" fontId="0" fillId="0" borderId="0" xfId="0" applyNumberFormat="1"/>
    <xf numFmtId="0" fontId="0" fillId="16" borderId="88" xfId="0" applyFill="1" applyBorder="1" applyAlignment="1">
      <alignment horizontal="center"/>
    </xf>
    <xf numFmtId="174" fontId="0" fillId="0" borderId="0" xfId="4" applyNumberFormat="1" applyFont="1"/>
    <xf numFmtId="0" fontId="25" fillId="7" borderId="57" xfId="0" applyFont="1" applyFill="1" applyBorder="1" applyAlignment="1">
      <alignment horizontal="centerContinuous" vertical="center"/>
    </xf>
    <xf numFmtId="0" fontId="0" fillId="7" borderId="57" xfId="0" applyFill="1" applyBorder="1" applyAlignment="1">
      <alignment horizontal="centerContinuous" vertical="center"/>
    </xf>
    <xf numFmtId="0" fontId="26" fillId="7" borderId="57" xfId="0" applyFont="1" applyFill="1" applyBorder="1" applyAlignment="1">
      <alignment horizontal="centerContinuous" vertical="center"/>
    </xf>
    <xf numFmtId="0" fontId="0" fillId="7" borderId="60" xfId="0" applyFill="1" applyBorder="1" applyAlignment="1">
      <alignment horizontal="centerContinuous" vertical="center"/>
    </xf>
    <xf numFmtId="0" fontId="0" fillId="7" borderId="0" xfId="0" applyFill="1" applyAlignment="1">
      <alignment horizontal="centerContinuous" vertical="center"/>
    </xf>
    <xf numFmtId="0" fontId="19" fillId="7" borderId="0" xfId="0" applyFont="1" applyFill="1" applyAlignment="1">
      <alignment horizontal="centerContinuous" vertical="center"/>
    </xf>
  </cellXfs>
  <cellStyles count="5">
    <cellStyle name="Currency" xfId="4" builtinId="4"/>
    <cellStyle name="Currency 2" xfId="3" xr:uid="{00000000-0005-0000-0000-000000000000}"/>
    <cellStyle name="Moneda [0] 2" xfId="1" xr:uid="{00000000-0005-0000-0000-000001000000}"/>
    <cellStyle name="Normal" xfId="0" builtinId="0"/>
    <cellStyle name="Normal 2" xfId="2" xr:uid="{00000000-0005-0000-0000-000003000000}"/>
  </cellStyles>
  <dxfs count="37">
    <dxf>
      <font>
        <color rgb="FF9C0006"/>
      </font>
      <fill>
        <patternFill patternType="none"/>
      </fill>
    </dxf>
    <dxf>
      <font>
        <color rgb="FF9C0006"/>
      </font>
      <fill>
        <patternFill patternType="none"/>
      </fill>
    </dxf>
    <dxf>
      <font>
        <color rgb="FF9C0006"/>
      </font>
      <fill>
        <patternFill patternType="none"/>
      </fill>
    </dxf>
    <dxf>
      <font>
        <color rgb="FF9C0006"/>
      </font>
      <fill>
        <patternFill patternType="none"/>
      </fill>
    </dxf>
    <dxf>
      <font>
        <color rgb="FF9C0006"/>
      </font>
      <fill>
        <patternFill patternType="none"/>
      </fill>
    </dxf>
    <dxf>
      <font>
        <color rgb="FF9C0006"/>
      </font>
      <fill>
        <patternFill patternType="none"/>
      </fill>
    </dxf>
    <dxf>
      <alignment vertical="center" readingOrder="0"/>
    </dxf>
    <dxf>
      <alignment horizontal="center" readingOrder="0"/>
    </dxf>
    <dxf>
      <border>
        <bottom style="double">
          <color indexed="64"/>
        </bottom>
      </border>
    </dxf>
    <dxf>
      <border>
        <bottom style="double">
          <color indexed="64"/>
        </bottom>
      </border>
    </dxf>
    <dxf>
      <border>
        <top/>
      </border>
    </dxf>
    <dxf>
      <border>
        <bottom/>
      </border>
    </dxf>
    <dxf>
      <font>
        <color theme="0"/>
      </font>
    </dxf>
    <dxf>
      <border>
        <left style="double">
          <color indexed="64"/>
        </left>
        <right style="double">
          <color indexed="64"/>
        </right>
        <bottom style="double">
          <color indexed="64"/>
        </bottom>
      </border>
    </dxf>
    <dxf>
      <border>
        <left style="double">
          <color indexed="64"/>
        </left>
        <right style="double">
          <color indexed="64"/>
        </right>
        <bottom style="double">
          <color indexed="64"/>
        </bottom>
      </border>
    </dxf>
    <dxf>
      <border>
        <left style="double">
          <color indexed="64"/>
        </left>
        <right style="double">
          <color indexed="64"/>
        </right>
        <bottom style="double">
          <color indexed="64"/>
        </bottom>
      </border>
    </dxf>
    <dxf>
      <border>
        <left style="double">
          <color indexed="64"/>
        </left>
        <right style="double">
          <color indexed="64"/>
        </right>
        <bottom style="double">
          <color indexed="64"/>
        </bottom>
      </border>
    </dxf>
    <dxf>
      <border>
        <left style="double">
          <color indexed="64"/>
        </left>
        <right style="double">
          <color indexed="64"/>
        </right>
        <bottom style="double">
          <color indexed="64"/>
        </bottom>
      </border>
    </dxf>
    <dxf>
      <border>
        <left style="double">
          <color indexed="64"/>
        </left>
        <right style="double">
          <color indexed="64"/>
        </right>
        <bottom style="double">
          <color indexed="64"/>
        </bottom>
      </border>
    </dxf>
    <dxf>
      <border>
        <left style="double">
          <color indexed="64"/>
        </left>
        <right style="double">
          <color indexed="64"/>
        </right>
        <bottom style="double">
          <color indexed="64"/>
        </bottom>
      </border>
    </dxf>
    <dxf>
      <border>
        <left style="double">
          <color indexed="64"/>
        </left>
        <right style="double">
          <color indexed="64"/>
        </right>
        <bottom style="double">
          <color indexed="64"/>
        </bottom>
      </border>
    </dxf>
    <dxf>
      <border>
        <left style="double">
          <color indexed="64"/>
        </left>
        <right style="double">
          <color indexed="64"/>
        </right>
        <bottom style="double">
          <color indexed="64"/>
        </bottom>
      </border>
    </dxf>
    <dxf>
      <border>
        <left style="double">
          <color indexed="64"/>
        </left>
        <right style="double">
          <color indexed="64"/>
        </right>
        <bottom style="double">
          <color indexed="64"/>
        </bottom>
      </border>
    </dxf>
    <dxf>
      <numFmt numFmtId="168" formatCode="&quot;$&quot;\ #,##0"/>
    </dxf>
    <dxf>
      <numFmt numFmtId="165" formatCode="000"/>
      <alignment horizontal="center" vertical="center"/>
    </dxf>
    <dxf>
      <fill>
        <patternFill patternType="solid">
          <bgColor rgb="FF7030A0"/>
        </patternFill>
      </fill>
    </dxf>
    <dxf>
      <font>
        <color theme="0"/>
      </font>
      <fill>
        <patternFill patternType="solid">
          <bgColor rgb="FF7030A0"/>
        </patternFill>
      </fill>
    </dxf>
    <dxf>
      <font>
        <color theme="0"/>
      </font>
      <fill>
        <patternFill patternType="solid">
          <bgColor rgb="FF7030A0"/>
        </patternFill>
      </fill>
    </dxf>
    <dxf>
      <font>
        <color theme="0"/>
      </font>
      <fill>
        <patternFill patternType="solid">
          <bgColor rgb="FF7030A0"/>
        </patternFill>
      </fill>
    </dxf>
    <dxf>
      <font>
        <color theme="0"/>
      </font>
      <fill>
        <patternFill patternType="solid">
          <bgColor rgb="FF7030A0"/>
        </patternFill>
      </fill>
    </dxf>
    <dxf>
      <font>
        <color theme="0"/>
      </font>
      <fill>
        <patternFill patternType="solid">
          <bgColor rgb="FF7030A0"/>
        </patternFill>
      </fill>
    </dxf>
    <dxf>
      <font>
        <color theme="0"/>
      </font>
      <fill>
        <patternFill patternType="solid">
          <bgColor rgb="FF7030A0"/>
        </patternFill>
      </fill>
    </dxf>
    <dxf>
      <font>
        <color theme="0"/>
      </font>
      <fill>
        <patternFill patternType="solid">
          <bgColor rgb="FF7030A0"/>
        </patternFill>
      </fill>
    </dxf>
    <dxf>
      <font>
        <name val="Calibri"/>
        <scheme val="minor"/>
      </font>
    </dxf>
    <dxf>
      <font>
        <b/>
        <color theme="0"/>
        <name val="Arial"/>
        <scheme val="none"/>
      </font>
      <fill>
        <patternFill patternType="solid">
          <bgColor rgb="FF7030A0"/>
        </patternFill>
      </fill>
    </dxf>
    <dxf>
      <font>
        <b/>
        <sz val="14"/>
        <name val="Arial"/>
        <scheme val="none"/>
      </font>
    </dxf>
    <dxf>
      <font>
        <color theme="0"/>
      </font>
      <fill>
        <patternFill patternType="solid">
          <bgColor rgb="FF7030A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895354</xdr:colOff>
      <xdr:row>4</xdr:row>
      <xdr:rowOff>60476</xdr:rowOff>
    </xdr:from>
    <xdr:ext cx="1208315" cy="919843"/>
    <xdr:pic>
      <xdr:nvPicPr>
        <xdr:cNvPr id="2" name="image1.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6568021" y="1224643"/>
          <a:ext cx="1208315" cy="919843"/>
        </a:xfrm>
        <a:prstGeom prst="rect">
          <a:avLst/>
        </a:prstGeom>
        <a:noFill/>
      </xdr:spPr>
    </xdr:pic>
    <xdr:clientData fLocksWithSheet="0"/>
  </xdr:oneCellAnchor>
  <xdr:oneCellAnchor>
    <xdr:from>
      <xdr:col>1</xdr:col>
      <xdr:colOff>304801</xdr:colOff>
      <xdr:row>4</xdr:row>
      <xdr:rowOff>111830</xdr:rowOff>
    </xdr:from>
    <xdr:ext cx="933450" cy="743303"/>
    <xdr:pic>
      <xdr:nvPicPr>
        <xdr:cNvPr id="3" name="Imagen 2">
          <a:extLst>
            <a:ext uri="{FF2B5EF4-FFF2-40B4-BE49-F238E27FC236}">
              <a16:creationId xmlns:a16="http://schemas.microsoft.com/office/drawing/2014/main" id="{076DD1F6-B331-4FD1-A45F-4772989E8BE0}"/>
            </a:ext>
          </a:extLst>
        </xdr:cNvPr>
        <xdr:cNvPicPr>
          <a:picLocks noChangeAspect="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ackgroundRemoval t="23800" b="75400" l="16000" r="84600">
                      <a14:foregroundMark x1="54600" y1="39400" x2="54600" y2="39400"/>
                      <a14:foregroundMark x1="57600" y1="36200" x2="57600" y2="36200"/>
                      <a14:foregroundMark x1="61200" y1="36800" x2="61200" y2="36800"/>
                      <a14:foregroundMark x1="62200" y1="40800" x2="62200" y2="40800"/>
                      <a14:foregroundMark x1="57800" y1="43400" x2="57800" y2="43400"/>
                      <a14:foregroundMark x1="47600" y1="40000" x2="47600" y2="40000"/>
                      <a14:foregroundMark x1="44400" y1="39200" x2="44400" y2="39200"/>
                      <a14:foregroundMark x1="51200" y1="34800" x2="51200" y2="34800"/>
                      <a14:foregroundMark x1="51200" y1="64800" x2="51200" y2="64800"/>
                      <a14:foregroundMark x1="45800" y1="60400" x2="45800" y2="60400"/>
                      <a14:foregroundMark x1="60400" y1="41200" x2="60400" y2="41200"/>
                      <a14:foregroundMark x1="57800" y1="42600" x2="57800" y2="42600"/>
                      <a14:foregroundMark x1="55600" y1="40000" x2="55600" y2="40000"/>
                      <a14:foregroundMark x1="56200" y1="35600" x2="56200" y2="35600"/>
                      <a14:foregroundMark x1="48600" y1="34400" x2="48600" y2="34400"/>
                      <a14:foregroundMark x1="43200" y1="35000" x2="43200" y2="35000"/>
                      <a14:foregroundMark x1="42000" y1="38800" x2="42000" y2="38800"/>
                      <a14:foregroundMark x1="39800" y1="40000" x2="39800" y2="40000"/>
                      <a14:foregroundMark x1="59800" y1="36800" x2="59800" y2="36800"/>
                      <a14:foregroundMark x1="18600" y1="49600" x2="18600" y2="49600"/>
                    </a14:backgroundRemoval>
                  </a14:imgEffect>
                </a14:imgLayer>
              </a14:imgProps>
            </a:ext>
            <a:ext uri="{28A0092B-C50C-407E-A947-70E740481C1C}">
              <a14:useLocalDpi xmlns:a14="http://schemas.microsoft.com/office/drawing/2010/main" val="0"/>
            </a:ext>
          </a:extLst>
        </a:blip>
        <a:srcRect l="14667" t="20666" r="13333" b="22000"/>
        <a:stretch/>
      </xdr:blipFill>
      <xdr:spPr>
        <a:xfrm>
          <a:off x="484718" y="1275997"/>
          <a:ext cx="933450" cy="743303"/>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2</xdr:col>
      <xdr:colOff>1581150</xdr:colOff>
      <xdr:row>13</xdr:row>
      <xdr:rowOff>219075</xdr:rowOff>
    </xdr:from>
    <xdr:ext cx="1095375" cy="609600"/>
    <xdr:pic>
      <xdr:nvPicPr>
        <xdr:cNvPr id="2" name="image2.png">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28575</xdr:colOff>
      <xdr:row>1</xdr:row>
      <xdr:rowOff>28575</xdr:rowOff>
    </xdr:from>
    <xdr:ext cx="923925" cy="742950"/>
    <xdr:pic>
      <xdr:nvPicPr>
        <xdr:cNvPr id="3" name="image1.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28575</xdr:colOff>
      <xdr:row>1</xdr:row>
      <xdr:rowOff>28575</xdr:rowOff>
    </xdr:from>
    <xdr:ext cx="923925" cy="742950"/>
    <xdr:pic>
      <xdr:nvPicPr>
        <xdr:cNvPr id="4" name="image1.png">
          <a:extLst>
            <a:ext uri="{FF2B5EF4-FFF2-40B4-BE49-F238E27FC236}">
              <a16:creationId xmlns:a16="http://schemas.microsoft.com/office/drawing/2014/main" id="{00000000-0008-0000-0200-000004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28575</xdr:colOff>
      <xdr:row>1</xdr:row>
      <xdr:rowOff>38100</xdr:rowOff>
    </xdr:from>
    <xdr:ext cx="923925" cy="742950"/>
    <xdr:pic>
      <xdr:nvPicPr>
        <xdr:cNvPr id="5" name="image1.png">
          <a:extLst>
            <a:ext uri="{FF2B5EF4-FFF2-40B4-BE49-F238E27FC236}">
              <a16:creationId xmlns:a16="http://schemas.microsoft.com/office/drawing/2014/main" id="{00000000-0008-0000-0200-000005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xdr:col>
      <xdr:colOff>304801</xdr:colOff>
      <xdr:row>3</xdr:row>
      <xdr:rowOff>111830</xdr:rowOff>
    </xdr:from>
    <xdr:ext cx="933450" cy="743303"/>
    <xdr:pic>
      <xdr:nvPicPr>
        <xdr:cNvPr id="3" name="Imagen 2">
          <a:extLst>
            <a:ext uri="{FF2B5EF4-FFF2-40B4-BE49-F238E27FC236}">
              <a16:creationId xmlns:a16="http://schemas.microsoft.com/office/drawing/2014/main" id="{2D851723-7527-4A91-B025-C32218B62CFB}"/>
            </a:ext>
          </a:extLst>
        </xdr:cNvPr>
        <xdr:cNvPicPr>
          <a:picLocks noChangeAspect="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ackgroundRemoval t="23800" b="75400" l="16000" r="84600">
                      <a14:foregroundMark x1="54600" y1="39400" x2="54600" y2="39400"/>
                      <a14:foregroundMark x1="57600" y1="36200" x2="57600" y2="36200"/>
                      <a14:foregroundMark x1="61200" y1="36800" x2="61200" y2="36800"/>
                      <a14:foregroundMark x1="62200" y1="40800" x2="62200" y2="40800"/>
                      <a14:foregroundMark x1="57800" y1="43400" x2="57800" y2="43400"/>
                      <a14:foregroundMark x1="47600" y1="40000" x2="47600" y2="40000"/>
                      <a14:foregroundMark x1="44400" y1="39200" x2="44400" y2="39200"/>
                      <a14:foregroundMark x1="51200" y1="34800" x2="51200" y2="34800"/>
                      <a14:foregroundMark x1="51200" y1="64800" x2="51200" y2="64800"/>
                      <a14:foregroundMark x1="45800" y1="60400" x2="45800" y2="60400"/>
                      <a14:foregroundMark x1="60400" y1="41200" x2="60400" y2="41200"/>
                      <a14:foregroundMark x1="57800" y1="42600" x2="57800" y2="42600"/>
                      <a14:foregroundMark x1="55600" y1="40000" x2="55600" y2="40000"/>
                      <a14:foregroundMark x1="56200" y1="35600" x2="56200" y2="35600"/>
                      <a14:foregroundMark x1="48600" y1="34400" x2="48600" y2="34400"/>
                      <a14:foregroundMark x1="43200" y1="35000" x2="43200" y2="35000"/>
                      <a14:foregroundMark x1="42000" y1="38800" x2="42000" y2="38800"/>
                      <a14:foregroundMark x1="39800" y1="40000" x2="39800" y2="40000"/>
                      <a14:foregroundMark x1="59800" y1="36800" x2="59800" y2="36800"/>
                      <a14:foregroundMark x1="18600" y1="49600" x2="18600" y2="49600"/>
                    </a14:backgroundRemoval>
                  </a14:imgEffect>
                </a14:imgLayer>
              </a14:imgProps>
            </a:ext>
            <a:ext uri="{28A0092B-C50C-407E-A947-70E740481C1C}">
              <a14:useLocalDpi xmlns:a14="http://schemas.microsoft.com/office/drawing/2010/main" val="0"/>
            </a:ext>
          </a:extLst>
        </a:blip>
        <a:srcRect l="14667" t="20666" r="13333" b="22000"/>
        <a:stretch/>
      </xdr:blipFill>
      <xdr:spPr>
        <a:xfrm>
          <a:off x="487681" y="1262450"/>
          <a:ext cx="933450" cy="743303"/>
        </a:xfrm>
        <a:prstGeom prst="rect">
          <a:avLst/>
        </a:prstGeom>
      </xdr:spPr>
    </xdr:pic>
    <xdr:clientData/>
  </xdr:oneCellAnchor>
  <xdr:oneCellAnchor>
    <xdr:from>
      <xdr:col>4</xdr:col>
      <xdr:colOff>1097281</xdr:colOff>
      <xdr:row>3</xdr:row>
      <xdr:rowOff>58490</xdr:rowOff>
    </xdr:from>
    <xdr:ext cx="933450" cy="743303"/>
    <xdr:pic>
      <xdr:nvPicPr>
        <xdr:cNvPr id="4" name="Imagen 2">
          <a:extLst>
            <a:ext uri="{FF2B5EF4-FFF2-40B4-BE49-F238E27FC236}">
              <a16:creationId xmlns:a16="http://schemas.microsoft.com/office/drawing/2014/main" id="{844B485E-A624-402D-84C4-0A05B035346B}"/>
            </a:ext>
          </a:extLst>
        </xdr:cNvPr>
        <xdr:cNvPicPr>
          <a:picLocks noChangeAspect="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ackgroundRemoval t="23800" b="75400" l="16000" r="84600">
                      <a14:foregroundMark x1="54600" y1="39400" x2="54600" y2="39400"/>
                      <a14:foregroundMark x1="57600" y1="36200" x2="57600" y2="36200"/>
                      <a14:foregroundMark x1="61200" y1="36800" x2="61200" y2="36800"/>
                      <a14:foregroundMark x1="62200" y1="40800" x2="62200" y2="40800"/>
                      <a14:foregroundMark x1="57800" y1="43400" x2="57800" y2="43400"/>
                      <a14:foregroundMark x1="47600" y1="40000" x2="47600" y2="40000"/>
                      <a14:foregroundMark x1="44400" y1="39200" x2="44400" y2="39200"/>
                      <a14:foregroundMark x1="51200" y1="34800" x2="51200" y2="34800"/>
                      <a14:foregroundMark x1="51200" y1="64800" x2="51200" y2="64800"/>
                      <a14:foregroundMark x1="45800" y1="60400" x2="45800" y2="60400"/>
                      <a14:foregroundMark x1="60400" y1="41200" x2="60400" y2="41200"/>
                      <a14:foregroundMark x1="57800" y1="42600" x2="57800" y2="42600"/>
                      <a14:foregroundMark x1="55600" y1="40000" x2="55600" y2="40000"/>
                      <a14:foregroundMark x1="56200" y1="35600" x2="56200" y2="35600"/>
                      <a14:foregroundMark x1="48600" y1="34400" x2="48600" y2="34400"/>
                      <a14:foregroundMark x1="43200" y1="35000" x2="43200" y2="35000"/>
                      <a14:foregroundMark x1="42000" y1="38800" x2="42000" y2="38800"/>
                      <a14:foregroundMark x1="39800" y1="40000" x2="39800" y2="40000"/>
                      <a14:foregroundMark x1="59800" y1="36800" x2="59800" y2="36800"/>
                      <a14:foregroundMark x1="18600" y1="49600" x2="18600" y2="49600"/>
                    </a14:backgroundRemoval>
                  </a14:imgEffect>
                </a14:imgLayer>
              </a14:imgProps>
            </a:ext>
            <a:ext uri="{28A0092B-C50C-407E-A947-70E740481C1C}">
              <a14:useLocalDpi xmlns:a14="http://schemas.microsoft.com/office/drawing/2010/main" val="0"/>
            </a:ext>
          </a:extLst>
        </a:blip>
        <a:srcRect l="14667" t="20666" r="13333" b="22000"/>
        <a:stretch/>
      </xdr:blipFill>
      <xdr:spPr>
        <a:xfrm>
          <a:off x="6743701" y="614750"/>
          <a:ext cx="933450" cy="743303"/>
        </a:xfrm>
        <a:prstGeom prst="rect">
          <a:avLst/>
        </a:prstGeom>
      </xdr:spPr>
    </xdr:pic>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ibal bolivar" refreshedDate="46236.911481712959" createdVersion="6" refreshedVersion="7" minRefreshableVersion="3" recordCount="1002" xr:uid="{00000000-000A-0000-FFFF-FFFF00000000}">
  <cacheSource type="worksheet">
    <worksheetSource ref="A1:I1048576" sheet="Pagos"/>
  </cacheSource>
  <cacheFields count="10">
    <cacheField name="N° Recibo" numFmtId="0">
      <sharedItems containsBlank="1" containsMixedTypes="1" containsNumber="1" containsInteger="1" minValue="1" maxValue="181" count="161">
        <n v="1"/>
        <m/>
        <n v="3"/>
        <s v=""/>
        <n v="7" u="1"/>
        <n v="170" u="1"/>
        <n v="109" u="1"/>
        <n v="143" u="1"/>
        <n v="122" u="1"/>
        <n v="82" u="1"/>
        <n v="53" u="1"/>
        <n v="33" u="1"/>
        <n v="169" u="1"/>
        <n v="142" u="1"/>
        <n v="95" u="1"/>
        <n v="168" u="1"/>
        <n v="108" u="1"/>
        <n v="29" u="1"/>
        <n v="19" u="1"/>
        <n v="141" u="1"/>
        <n v="121" u="1"/>
        <n v="81" u="1"/>
        <n v="167" u="1"/>
        <n v="140" u="1"/>
        <n v="94" u="1"/>
        <n v="59" u="1"/>
        <n v="39" u="1"/>
        <n v="166" u="1"/>
        <n v="107" u="1"/>
        <n v="139" u="1"/>
        <n v="120" u="1"/>
        <n v="80" u="1"/>
        <n v="52" u="1"/>
        <n v="32" u="1"/>
        <n v="22" u="1"/>
        <n v="165" u="1"/>
        <n v="14" u="1"/>
        <n v="9" u="1"/>
        <n v="6" u="1"/>
        <n v="138" u="1"/>
        <n v="93" u="1"/>
        <n v="164" u="1"/>
        <n v="106" u="1"/>
        <n v="137" u="1"/>
        <n v="119" u="1"/>
        <n v="79" u="1"/>
        <n v="163" u="1"/>
        <n v="136" u="1"/>
        <n v="92" u="1"/>
        <n v="58" u="1"/>
        <n v="38" u="1"/>
        <n v="25" u="1"/>
        <n v="162" u="1"/>
        <n v="135" u="1"/>
        <n v="118" u="1"/>
        <n v="78" u="1"/>
        <n v="161" u="1"/>
        <n v="91" u="1"/>
        <n v="160" u="1"/>
        <n v="104" u="1"/>
        <n v="28" u="1"/>
        <n v="18" u="1"/>
        <n v="133" u="1"/>
        <n v="12" u="1"/>
        <n v="5" u="1"/>
        <n v="2" u="1"/>
        <n v="117" u="1"/>
        <n v="77" u="1"/>
        <n v="159" u="1"/>
        <n v="132" u="1"/>
        <n v="90" u="1"/>
        <n v="57" u="1"/>
        <n v="37" u="1"/>
        <n v="158" u="1"/>
        <n v="103" u="1"/>
        <n v="131" u="1"/>
        <n v="116" u="1"/>
        <n v="76" u="1"/>
        <n v="31" u="1"/>
        <n v="21" u="1"/>
        <n v="157" u="1"/>
        <n v="130" u="1"/>
        <n v="89" u="1"/>
        <n v="156" u="1"/>
        <n v="102" u="1"/>
        <n v="129" u="1"/>
        <n v="115" u="1"/>
        <n v="75" u="1"/>
        <n v="155" u="1"/>
        <n v="128" u="1"/>
        <n v="88" u="1"/>
        <n v="56" u="1"/>
        <n v="36" u="1"/>
        <n v="24" u="1"/>
        <n v="181" u="1"/>
        <n v="15" u="1"/>
        <n v="10" u="1"/>
        <n v="4" u="1"/>
        <n v="154" u="1"/>
        <n v="101" u="1"/>
        <n v="180" u="1"/>
        <n v="114" u="1"/>
        <n v="74" u="1"/>
        <n v="153" u="1"/>
        <n v="127" u="1"/>
        <n v="87" u="1"/>
        <n v="179" u="1"/>
        <n v="152" u="1"/>
        <n v="100" u="1"/>
        <n v="62" u="1"/>
        <n v="27" u="1"/>
        <n v="17" u="1"/>
        <n v="178" u="1"/>
        <n v="113" u="1"/>
        <n v="73" u="1"/>
        <n v="151" u="1"/>
        <n v="126" u="1"/>
        <n v="86" u="1"/>
        <n v="55" u="1"/>
        <n v="35" u="1"/>
        <n v="177" u="1"/>
        <n v="150" u="1"/>
        <n v="99" u="1"/>
        <n v="176" u="1"/>
        <n v="112" u="1"/>
        <n v="72" u="1"/>
        <n v="30" u="1"/>
        <n v="20" u="1"/>
        <n v="149" u="1"/>
        <n v="13" u="1"/>
        <n v="8" u="1"/>
        <n v="125" u="1"/>
        <n v="85" u="1"/>
        <n v="175" u="1"/>
        <n v="148" u="1"/>
        <n v="98" u="1"/>
        <n v="61" u="1"/>
        <n v="174" u="1"/>
        <n v="111" u="1"/>
        <n v="147" u="1"/>
        <n v="124" u="1"/>
        <n v="84" u="1"/>
        <n v="54" u="1"/>
        <n v="34" u="1"/>
        <n v="23" u="1"/>
        <n v="173" u="1"/>
        <n v="146" u="1"/>
        <n v="97" u="1"/>
        <n v="172" u="1"/>
        <n v="110" u="1"/>
        <n v="145" u="1"/>
        <n v="123" u="1"/>
        <n v="83" u="1"/>
        <n v="171" u="1"/>
        <n v="144" u="1"/>
        <n v="96" u="1"/>
        <n v="60" u="1"/>
        <n v="40" u="1"/>
        <n v="26" u="1"/>
        <n v="16" u="1"/>
        <n v="11" u="1"/>
      </sharedItems>
    </cacheField>
    <cacheField name="FechaT" numFmtId="0">
      <sharedItems containsNonDate="0" containsDate="1" containsString="0" containsBlank="1" minDate="2026-08-01T00:00:00" maxDate="2026-08-03T00:00:00"/>
    </cacheField>
    <cacheField name="Fecha" numFmtId="0">
      <sharedItems containsDate="1" containsBlank="1" containsMixedTypes="1" minDate="2023-03-11T00:00:00" maxDate="2023-11-19T00:00:00" count="29">
        <s v="02/08/2026"/>
        <s v=""/>
        <s v="01/08/2026"/>
        <m/>
        <d v="2023-11-18T00:00:00" u="1"/>
        <s v="09/09/2023" u="1"/>
        <s v="18/11/2023" u="1"/>
        <s v="05/11/2023" u="1"/>
        <s v="14/10/2023" u="1"/>
        <s v="25/08/2026" u="1"/>
        <d v="2023-03-12T00:00:00" u="1"/>
        <s v="07/10/2023" u="1"/>
        <s v="02/12/2023" u="1"/>
        <s v="15/09/2023" u="1"/>
        <s v="17/09/2023" u="1"/>
        <s v="26/11/2023" u="1"/>
        <s v="22/10/2023" u="1"/>
        <s v="04/11/2023" u="1"/>
        <s v="10/12/2023" u="1"/>
        <s v="30/11/2023" u="1"/>
        <s v="10/09/2023" u="1"/>
        <s v="25/09/2023" u="1"/>
        <d v="2023-03-18T00:00:00" u="1"/>
        <d v="2023-03-11T00:00:00" u="1"/>
        <s v="29/09/2023" u="1"/>
        <s v="03/12/2023" u="1"/>
        <s v="03/09/2023" u="1"/>
        <s v="30/10/2023" u="1"/>
        <s v="25/11/2023" u="1"/>
      </sharedItems>
    </cacheField>
    <cacheField name="Equipo" numFmtId="0">
      <sharedItems containsBlank="1" count="13">
        <s v="CLASE APARTE"/>
        <m/>
        <s v="JOE FRANK" u="1"/>
        <s v="FAMILIA REAL" u="1"/>
        <s v="SINFÓNICA  FC" u="1"/>
        <s v="DEMENTES" u="1"/>
        <s v="PALMO FC" u="1"/>
        <s v="GREMIO" u="1"/>
        <s v="HEROICOS" u="1"/>
        <s v="INTER DE CARTAGENA" u="1"/>
        <s v="GNH" u="1"/>
        <s v="LA GRAN FAMILIA" u="1"/>
        <s v="JUVENTUS B" u="1"/>
      </sharedItems>
    </cacheField>
    <cacheField name="Semana" numFmtId="0">
      <sharedItems containsBlank="1" containsMixedTypes="1" containsNumber="1" containsInteger="1" minValue="3" maxValue="49" count="16">
        <n v="31"/>
        <s v=""/>
        <m/>
        <n v="36" u="1"/>
        <n v="40" u="1"/>
        <n v="42" u="1"/>
        <n v="44" u="1"/>
        <n v="46" u="1"/>
        <n v="48" u="1"/>
        <n v="35" u="1"/>
        <n v="37" u="1"/>
        <n v="3" u="1"/>
        <n v="39" u="1"/>
        <n v="41" u="1"/>
        <n v="47" u="1"/>
        <n v="49" u="1"/>
      </sharedItems>
    </cacheField>
    <cacheField name="Mes" numFmtId="0">
      <sharedItems containsBlank="1"/>
    </cacheField>
    <cacheField name="Pago" numFmtId="0">
      <sharedItems containsString="0" containsBlank="1" containsNumber="1" containsInteger="1" minValue="300000" maxValue="300000"/>
    </cacheField>
    <cacheField name="Cantidad Texto" numFmtId="0">
      <sharedItems containsBlank="1" count="27">
        <s v="Trescientos Mil Pesos"/>
        <s v=""/>
        <m/>
        <s v="Sesenta y Cinco Mil Pesos" u="1"/>
        <s v="Sesenta y Siete Mil Pesos" u="1"/>
        <s v="Cuarenta y Seis Mil Pesos " u="1"/>
        <s v="Treinta Mil Pesos" u="1"/>
        <s v="Veinte Mil Pesos" u="1"/>
        <s v="Cien Mil Pesos" u="1"/>
        <s v="Ciento Cincuenta Mil Pesos" u="1"/>
        <s v="Dieciséis Mil Novecientos Pesos" u="1"/>
        <s v="Quince Mil Pesos" u="1"/>
        <s v="Cuarenta Mil Pesos" u="1"/>
        <s v="Diez Mil Pesos" u="1"/>
        <s v="Ciento Veinte Mil Pesos" u="1"/>
        <s v="Ochenta y Un Mil Pesos" u="1"/>
        <s v="Tres Mil Pesos" u="1"/>
        <s v="Doscientos Mil Pesos" u="1"/>
        <s v="Ochenta Mil Pesos" u="1"/>
        <s v="Sesenta Mil Pesos" u="1"/>
        <s v="Cincuenta Mil Pesos" u="1"/>
        <s v="Setenta y Seis Mil Pesos" u="1"/>
        <s v="Treinta y Nueve Mil Pesos " u="1"/>
        <s v="Ciento Cinco Mil Quinientos Pesos" u="1"/>
        <s v="Setenta Mil Pesos" u="1"/>
        <s v="Catorce Mil Pesos" u="1"/>
        <s v="Ochenta y Cinco Mil Pesos" u="1"/>
      </sharedItems>
    </cacheField>
    <cacheField name="Concepto" numFmtId="0">
      <sharedItems containsBlank="1" count="10">
        <s v="Inscripcion 2026 - 2027"/>
        <s v="Multas"/>
        <s v="Carnet"/>
        <m/>
        <s v="INSCRIPCION 2023 - 2024" u="1"/>
        <s v="INSCRIPCION 2023 - 2024 " u="1"/>
        <s v="Amarillas" u="1"/>
        <s v="DEIVIS REALES PAGO MULTA " u="1"/>
        <s v="FOFI" u="1"/>
        <s v="OSVALDO HERRERA PAGO MULTA" u="1"/>
      </sharedItems>
    </cacheField>
    <cacheField name="Abono" numFmtId="0" formula="Pago"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ibal bolivar" refreshedDate="46236.914750694443" createdVersion="7" refreshedVersion="7" minRefreshableVersion="3" recordCount="192" xr:uid="{3ED7974F-45C1-4933-A419-A21DE084641C}">
  <cacheSource type="worksheet">
    <worksheetSource ref="A1:K193" sheet="Pagos"/>
  </cacheSource>
  <cacheFields count="11">
    <cacheField name="N° Recibo" numFmtId="165">
      <sharedItems containsBlank="1" containsMixedTypes="1" containsNumber="1" containsInteger="1" minValue="1" maxValue="3"/>
    </cacheField>
    <cacheField name="FechaT" numFmtId="15">
      <sharedItems containsNonDate="0" containsDate="1" containsString="0" containsBlank="1" minDate="2026-08-01T00:00:00" maxDate="2026-08-03T00:00:00" count="3">
        <d v="2026-08-02T00:00:00"/>
        <m/>
        <d v="2026-08-01T00:00:00"/>
      </sharedItems>
    </cacheField>
    <cacheField name="Fecha" numFmtId="0">
      <sharedItems containsBlank="1"/>
    </cacheField>
    <cacheField name="Equipo" numFmtId="0">
      <sharedItems containsBlank="1" count="2">
        <s v="CLASE APARTE"/>
        <m/>
      </sharedItems>
    </cacheField>
    <cacheField name="Semana" numFmtId="0">
      <sharedItems containsMixedTypes="1" containsNumber="1" containsInteger="1" minValue="31" maxValue="31" count="2">
        <n v="31"/>
        <s v=""/>
      </sharedItems>
    </cacheField>
    <cacheField name="Mes" numFmtId="0">
      <sharedItems/>
    </cacheField>
    <cacheField name="Pago" numFmtId="164">
      <sharedItems containsString="0" containsBlank="1" containsNumber="1" containsInteger="1" minValue="300000" maxValue="300000"/>
    </cacheField>
    <cacheField name="Cantidad Texto" numFmtId="0">
      <sharedItems containsBlank="1" count="3">
        <s v="Trescientos Mil Pesos"/>
        <s v=""/>
        <m/>
      </sharedItems>
    </cacheField>
    <cacheField name="Concepto" numFmtId="0">
      <sharedItems containsBlank="1" count="4">
        <s v="Inscripcion 2026 - 2027"/>
        <s v="Multas"/>
        <s v="Carnet"/>
        <m/>
      </sharedItems>
    </cacheField>
    <cacheField name="COD" numFmtId="0">
      <sharedItems/>
    </cacheField>
    <cacheField name="Codigo Recibo" numFmtId="0">
      <sharedItems count="4">
        <s v="INS26001"/>
        <s v="M001"/>
        <s v="C001"/>
        <s v=""/>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2">
  <r>
    <x v="0"/>
    <d v="2026-08-02T00:00:00"/>
    <x v="0"/>
    <x v="0"/>
    <x v="0"/>
    <s v="agosto"/>
    <n v="300000"/>
    <x v="0"/>
    <x v="0"/>
  </r>
  <r>
    <x v="1"/>
    <m/>
    <x v="1"/>
    <x v="1"/>
    <x v="1"/>
    <s v=""/>
    <m/>
    <x v="1"/>
    <x v="1"/>
  </r>
  <r>
    <x v="2"/>
    <d v="2026-08-01T00:00:00"/>
    <x v="2"/>
    <x v="0"/>
    <x v="0"/>
    <s v="agosto"/>
    <n v="300000"/>
    <x v="0"/>
    <x v="2"/>
  </r>
  <r>
    <x v="1"/>
    <m/>
    <x v="1"/>
    <x v="1"/>
    <x v="1"/>
    <s v=""/>
    <m/>
    <x v="1"/>
    <x v="3"/>
  </r>
  <r>
    <x v="1"/>
    <m/>
    <x v="1"/>
    <x v="1"/>
    <x v="1"/>
    <s v=""/>
    <m/>
    <x v="1"/>
    <x v="3"/>
  </r>
  <r>
    <x v="1"/>
    <m/>
    <x v="1"/>
    <x v="1"/>
    <x v="1"/>
    <s v=""/>
    <m/>
    <x v="1"/>
    <x v="3"/>
  </r>
  <r>
    <x v="1"/>
    <m/>
    <x v="1"/>
    <x v="1"/>
    <x v="1"/>
    <s v=""/>
    <m/>
    <x v="1"/>
    <x v="3"/>
  </r>
  <r>
    <x v="1"/>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2"/>
    <x v="3"/>
  </r>
  <r>
    <x v="3"/>
    <m/>
    <x v="3"/>
    <x v="1"/>
    <x v="1"/>
    <s v=""/>
    <m/>
    <x v="1"/>
    <x v="3"/>
  </r>
  <r>
    <x v="3"/>
    <m/>
    <x v="3"/>
    <x v="1"/>
    <x v="1"/>
    <s v=""/>
    <m/>
    <x v="1"/>
    <x v="3"/>
  </r>
  <r>
    <x v="3"/>
    <m/>
    <x v="1"/>
    <x v="1"/>
    <x v="1"/>
    <s v=""/>
    <m/>
    <x v="1"/>
    <x v="3"/>
  </r>
  <r>
    <x v="3"/>
    <m/>
    <x v="3"/>
    <x v="1"/>
    <x v="1"/>
    <s v=""/>
    <m/>
    <x v="1"/>
    <x v="3"/>
  </r>
  <r>
    <x v="3"/>
    <m/>
    <x v="1"/>
    <x v="1"/>
    <x v="1"/>
    <s v=""/>
    <m/>
    <x v="1"/>
    <x v="3"/>
  </r>
  <r>
    <x v="3"/>
    <m/>
    <x v="1"/>
    <x v="1"/>
    <x v="1"/>
    <s v=""/>
    <m/>
    <x v="2"/>
    <x v="3"/>
  </r>
  <r>
    <x v="3"/>
    <m/>
    <x v="3"/>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3"/>
    <m/>
    <x v="1"/>
    <x v="1"/>
    <x v="1"/>
    <s v=""/>
    <m/>
    <x v="1"/>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r>
    <x v="1"/>
    <m/>
    <x v="3"/>
    <x v="1"/>
    <x v="2"/>
    <m/>
    <m/>
    <x v="2"/>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2">
  <r>
    <n v="1"/>
    <x v="0"/>
    <s v="02/08/2026"/>
    <x v="0"/>
    <x v="0"/>
    <s v="agosto"/>
    <n v="300000"/>
    <x v="0"/>
    <x v="0"/>
    <s v="INS26"/>
    <x v="0"/>
  </r>
  <r>
    <m/>
    <x v="1"/>
    <s v=""/>
    <x v="1"/>
    <x v="1"/>
    <s v=""/>
    <m/>
    <x v="1"/>
    <x v="1"/>
    <s v="M"/>
    <x v="1"/>
  </r>
  <r>
    <n v="3"/>
    <x v="2"/>
    <s v="01/08/2026"/>
    <x v="0"/>
    <x v="0"/>
    <s v="agosto"/>
    <n v="300000"/>
    <x v="0"/>
    <x v="2"/>
    <s v="C"/>
    <x v="2"/>
  </r>
  <r>
    <m/>
    <x v="1"/>
    <s v=""/>
    <x v="1"/>
    <x v="1"/>
    <s v=""/>
    <m/>
    <x v="1"/>
    <x v="3"/>
    <s v=""/>
    <x v="3"/>
  </r>
  <r>
    <m/>
    <x v="1"/>
    <s v=""/>
    <x v="1"/>
    <x v="1"/>
    <s v=""/>
    <m/>
    <x v="1"/>
    <x v="3"/>
    <s v=""/>
    <x v="3"/>
  </r>
  <r>
    <m/>
    <x v="1"/>
    <s v=""/>
    <x v="1"/>
    <x v="1"/>
    <s v=""/>
    <m/>
    <x v="1"/>
    <x v="3"/>
    <s v=""/>
    <x v="3"/>
  </r>
  <r>
    <m/>
    <x v="1"/>
    <s v=""/>
    <x v="1"/>
    <x v="1"/>
    <s v=""/>
    <m/>
    <x v="1"/>
    <x v="3"/>
    <s v=""/>
    <x v="3"/>
  </r>
  <r>
    <m/>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2"/>
    <x v="3"/>
    <s v=""/>
    <x v="3"/>
  </r>
  <r>
    <s v=""/>
    <x v="1"/>
    <m/>
    <x v="1"/>
    <x v="1"/>
    <s v=""/>
    <m/>
    <x v="1"/>
    <x v="3"/>
    <s v=""/>
    <x v="3"/>
  </r>
  <r>
    <s v=""/>
    <x v="1"/>
    <m/>
    <x v="1"/>
    <x v="1"/>
    <s v=""/>
    <m/>
    <x v="1"/>
    <x v="3"/>
    <s v=""/>
    <x v="3"/>
  </r>
  <r>
    <s v=""/>
    <x v="1"/>
    <s v=""/>
    <x v="1"/>
    <x v="1"/>
    <s v=""/>
    <m/>
    <x v="1"/>
    <x v="3"/>
    <s v=""/>
    <x v="3"/>
  </r>
  <r>
    <s v=""/>
    <x v="1"/>
    <m/>
    <x v="1"/>
    <x v="1"/>
    <s v=""/>
    <m/>
    <x v="1"/>
    <x v="3"/>
    <s v=""/>
    <x v="3"/>
  </r>
  <r>
    <s v=""/>
    <x v="1"/>
    <s v=""/>
    <x v="1"/>
    <x v="1"/>
    <s v=""/>
    <m/>
    <x v="1"/>
    <x v="3"/>
    <s v=""/>
    <x v="3"/>
  </r>
  <r>
    <s v=""/>
    <x v="1"/>
    <s v=""/>
    <x v="1"/>
    <x v="1"/>
    <s v=""/>
    <m/>
    <x v="2"/>
    <x v="3"/>
    <s v=""/>
    <x v="3"/>
  </r>
  <r>
    <s v=""/>
    <x v="1"/>
    <m/>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r>
    <s v=""/>
    <x v="1"/>
    <s v=""/>
    <x v="1"/>
    <x v="1"/>
    <s v=""/>
    <m/>
    <x v="1"/>
    <x v="3"/>
    <s v=""/>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Dinámica1" cacheId="8" applyNumberFormats="0" applyBorderFormats="0" applyFontFormats="0" applyPatternFormats="0" applyAlignmentFormats="0" applyWidthHeightFormats="1" dataCaption="Valores" updatedVersion="7" minRefreshableVersion="3" showDrill="0" useAutoFormatting="1" itemPrintTitles="1" createdVersion="8" indent="0" compact="0" compactData="0" multipleFieldFilters="0">
  <location ref="B14:G17" firstHeaderRow="1" firstDataRow="1" firstDataCol="5" rowPageCount="1" colPageCount="1"/>
  <pivotFields count="10">
    <pivotField axis="axisRow" compact="0" outline="0" subtotalTop="0" showAll="0" defaultSubtotal="0">
      <items count="161">
        <item x="0"/>
        <item x="1"/>
        <item m="1" x="65"/>
        <item x="3"/>
        <item x="2"/>
        <item m="1" x="97"/>
        <item m="1" x="64"/>
        <item m="1" x="38"/>
        <item m="1" x="4"/>
        <item m="1" x="130"/>
        <item m="1" x="37"/>
        <item m="1" x="96"/>
        <item m="1" x="160"/>
        <item m="1" x="63"/>
        <item m="1" x="129"/>
        <item m="1" x="36"/>
        <item m="1" x="95"/>
        <item m="1" x="159"/>
        <item m="1" x="111"/>
        <item m="1" x="61"/>
        <item m="1" x="18"/>
        <item m="1" x="127"/>
        <item m="1" x="79"/>
        <item m="1" x="34"/>
        <item m="1" x="144"/>
        <item m="1" x="93"/>
        <item m="1" x="51"/>
        <item m="1" x="158"/>
        <item m="1" x="110"/>
        <item m="1" x="60"/>
        <item m="1" x="17"/>
        <item m="1" x="126"/>
        <item m="1" x="78"/>
        <item m="1" x="33"/>
        <item m="1" x="11"/>
        <item m="1" x="143"/>
        <item m="1" x="119"/>
        <item m="1" x="92"/>
        <item m="1" x="72"/>
        <item m="1" x="50"/>
        <item m="1" x="26"/>
        <item m="1" x="157"/>
        <item m="1" x="32"/>
        <item m="1" x="10"/>
        <item m="1" x="142"/>
        <item m="1" x="118"/>
        <item m="1" x="91"/>
        <item m="1" x="71"/>
        <item m="1" x="49"/>
        <item m="1" x="25"/>
        <item m="1" x="156"/>
        <item m="1" x="136"/>
        <item m="1" x="109"/>
        <item m="1" x="125"/>
        <item m="1" x="114"/>
        <item m="1" x="102"/>
        <item m="1" x="87"/>
        <item m="1" x="77"/>
        <item m="1" x="67"/>
        <item m="1" x="55"/>
        <item m="1" x="45"/>
        <item m="1" x="31"/>
        <item m="1" x="21"/>
        <item m="1" x="9"/>
        <item m="1" x="152"/>
        <item m="1" x="141"/>
        <item m="1" x="132"/>
        <item m="1" x="117"/>
        <item m="1" x="105"/>
        <item m="1" x="90"/>
        <item m="1" x="82"/>
        <item m="1" x="70"/>
        <item m="1" x="57"/>
        <item m="1" x="48"/>
        <item m="1" x="40"/>
        <item m="1" x="24"/>
        <item m="1" x="14"/>
        <item m="1" x="155"/>
        <item m="1" x="147"/>
        <item m="1" x="135"/>
        <item m="1" x="122"/>
        <item m="1" x="108"/>
        <item m="1" x="99"/>
        <item m="1" x="84"/>
        <item m="1" x="74"/>
        <item m="1" x="59"/>
        <item m="1" x="42"/>
        <item m="1" x="28"/>
        <item m="1" x="16"/>
        <item m="1" x="6"/>
        <item m="1" x="149"/>
        <item m="1" x="138"/>
        <item m="1" x="124"/>
        <item m="1" x="113"/>
        <item m="1" x="101"/>
        <item m="1" x="86"/>
        <item m="1" x="76"/>
        <item m="1" x="66"/>
        <item m="1" x="54"/>
        <item m="1" x="44"/>
        <item m="1" x="30"/>
        <item m="1" x="20"/>
        <item m="1" x="8"/>
        <item m="1" x="151"/>
        <item m="1" x="140"/>
        <item m="1" x="131"/>
        <item m="1" x="116"/>
        <item m="1" x="104"/>
        <item m="1" x="89"/>
        <item m="1" x="85"/>
        <item m="1" x="81"/>
        <item m="1" x="75"/>
        <item m="1" x="69"/>
        <item m="1" x="62"/>
        <item m="1" x="53"/>
        <item m="1" x="47"/>
        <item m="1" x="43"/>
        <item m="1" x="39"/>
        <item m="1" x="29"/>
        <item m="1" x="23"/>
        <item m="1" x="19"/>
        <item m="1" x="13"/>
        <item m="1" x="7"/>
        <item m="1" x="154"/>
        <item m="1" x="150"/>
        <item m="1" x="146"/>
        <item m="1" x="139"/>
        <item m="1" x="134"/>
        <item m="1" x="128"/>
        <item m="1" x="121"/>
        <item m="1" x="115"/>
        <item m="1" x="107"/>
        <item m="1" x="103"/>
        <item m="1" x="98"/>
        <item m="1" x="88"/>
        <item m="1" x="83"/>
        <item m="1" x="80"/>
        <item m="1" x="73"/>
        <item m="1" x="68"/>
        <item m="1" x="58"/>
        <item m="1" x="56"/>
        <item m="1" x="52"/>
        <item m="1" x="46"/>
        <item m="1" x="41"/>
        <item m="1" x="35"/>
        <item m="1" x="27"/>
        <item m="1" x="22"/>
        <item m="1" x="15"/>
        <item m="1" x="12"/>
        <item m="1" x="5"/>
        <item m="1" x="153"/>
        <item m="1" x="148"/>
        <item m="1" x="145"/>
        <item m="1" x="137"/>
        <item m="1" x="133"/>
        <item m="1" x="123"/>
        <item m="1" x="120"/>
        <item m="1" x="112"/>
        <item m="1" x="106"/>
        <item m="1" x="100"/>
        <item m="1" x="94"/>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defaultSubtotal="0">
      <items count="29">
        <item x="3"/>
        <item x="1"/>
        <item m="1" x="26"/>
        <item m="1" x="5"/>
        <item m="1" x="20"/>
        <item m="1" x="13"/>
        <item m="1" x="14"/>
        <item m="1" x="21"/>
        <item m="1" x="24"/>
        <item m="1" x="11"/>
        <item m="1" x="8"/>
        <item m="1" x="16"/>
        <item m="1" x="27"/>
        <item m="1" x="17"/>
        <item m="1" x="7"/>
        <item m="1" x="4"/>
        <item m="1" x="6"/>
        <item m="1" x="28"/>
        <item m="1" x="15"/>
        <item m="1" x="19"/>
        <item m="1" x="18"/>
        <item m="1" x="12"/>
        <item m="1" x="25"/>
        <item m="1" x="23"/>
        <item m="1" x="10"/>
        <item m="1" x="22"/>
        <item x="2"/>
        <item m="1" x="9"/>
        <item x="0"/>
      </items>
      <extLst>
        <ext xmlns:x14="http://schemas.microsoft.com/office/spreadsheetml/2009/9/main" uri="{2946ED86-A175-432a-8AC1-64E0C546D7DE}">
          <x14:pivotField fillDownLabels="1"/>
        </ext>
      </extLst>
    </pivotField>
    <pivotField name="Recibi de" axis="axisPage" compact="0" outline="0" subtotalTop="0" showAll="0" defaultSubtotal="0">
      <items count="13">
        <item x="1"/>
        <item m="1" x="10"/>
        <item m="1" x="7"/>
        <item m="1" x="8"/>
        <item m="1" x="4"/>
        <item x="0"/>
        <item m="1" x="9"/>
        <item m="1" x="3"/>
        <item m="1" x="5"/>
        <item m="1" x="2"/>
        <item m="1" x="12"/>
        <item m="1" x="11"/>
        <item m="1" x="6"/>
      </items>
      <extLst>
        <ext xmlns:x14="http://schemas.microsoft.com/office/spreadsheetml/2009/9/main" uri="{2946ED86-A175-432a-8AC1-64E0C546D7DE}">
          <x14:pivotField fillDownLabels="1"/>
        </ext>
      </extLst>
    </pivotField>
    <pivotField axis="axisRow" compact="0" outline="0" subtotalTop="0" showAll="0" defaultSubtotal="0">
      <items count="16">
        <item x="2"/>
        <item x="1"/>
        <item m="1" x="9"/>
        <item m="1" x="3"/>
        <item m="1" x="10"/>
        <item m="1" x="12"/>
        <item m="1" x="13"/>
        <item m="1" x="5"/>
        <item m="1" x="6"/>
        <item m="1" x="7"/>
        <item m="1" x="14"/>
        <item m="1" x="8"/>
        <item m="1" x="11"/>
        <item m="1" x="4"/>
        <item m="1" x="15"/>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defaultSubtotal="0">
      <items count="27">
        <item x="1"/>
        <item x="2"/>
        <item m="1" x="8"/>
        <item m="1" x="24"/>
        <item m="1" x="17"/>
        <item m="1" x="7"/>
        <item m="1" x="20"/>
        <item m="1" x="14"/>
        <item m="1" x="6"/>
        <item m="1" x="12"/>
        <item m="1" x="9"/>
        <item m="1" x="19"/>
        <item m="1" x="5"/>
        <item m="1" x="25"/>
        <item m="1" x="3"/>
        <item m="1" x="13"/>
        <item m="1" x="23"/>
        <item m="1" x="11"/>
        <item m="1" x="21"/>
        <item m="1" x="15"/>
        <item m="1" x="4"/>
        <item m="1" x="16"/>
        <item m="1" x="10"/>
        <item m="1" x="26"/>
        <item m="1" x="18"/>
        <item m="1" x="22"/>
        <item x="0"/>
      </items>
      <extLst>
        <ext xmlns:x14="http://schemas.microsoft.com/office/spreadsheetml/2009/9/main" uri="{2946ED86-A175-432a-8AC1-64E0C546D7DE}">
          <x14:pivotField fillDownLabels="1"/>
        </ext>
      </extLst>
    </pivotField>
    <pivotField axis="axisRow" compact="0" outline="0" subtotalTop="0" showAll="0" defaultSubtotal="0">
      <items count="10">
        <item x="3"/>
        <item m="1" x="4"/>
        <item m="1" x="9"/>
        <item m="1" x="7"/>
        <item m="1" x="5"/>
        <item x="0"/>
        <item m="1" x="6"/>
        <item m="1" x="8"/>
        <item x="1"/>
        <item x="2"/>
      </items>
      <extLst>
        <ext xmlns:x14="http://schemas.microsoft.com/office/spreadsheetml/2009/9/main" uri="{2946ED86-A175-432a-8AC1-64E0C546D7DE}">
          <x14:pivotField fillDownLabels="1"/>
        </ext>
      </extLst>
    </pivotField>
    <pivotField dataField="1" compact="0" outline="0" subtotalTop="0" dragToRow="0" dragToCol="0" dragToPage="0" showAll="0" defaultSubtotal="0">
      <extLst>
        <ext xmlns:x14="http://schemas.microsoft.com/office/spreadsheetml/2009/9/main" uri="{2946ED86-A175-432a-8AC1-64E0C546D7DE}">
          <x14:pivotField fillDownLabels="1"/>
        </ext>
      </extLst>
    </pivotField>
  </pivotFields>
  <rowFields count="5">
    <field x="0"/>
    <field x="2"/>
    <field x="4"/>
    <field x="8"/>
    <field x="7"/>
  </rowFields>
  <rowItems count="3">
    <i>
      <x/>
      <x v="28"/>
      <x v="15"/>
      <x v="5"/>
      <x v="26"/>
    </i>
    <i>
      <x v="4"/>
      <x v="26"/>
      <x v="15"/>
      <x v="9"/>
      <x v="26"/>
    </i>
    <i t="grand">
      <x/>
    </i>
  </rowItems>
  <colItems count="1">
    <i/>
  </colItems>
  <pageFields count="1">
    <pageField fld="3" item="5" hier="-1"/>
  </pageFields>
  <dataFields count="1">
    <dataField name="Abonos" fld="9" baseField="7" baseItem="3" numFmtId="168"/>
  </dataFields>
  <formats count="31">
    <format dxfId="36">
      <pivotArea field="3" type="button" dataOnly="0" labelOnly="1" outline="0" axis="axisPage" fieldPosition="0"/>
    </format>
    <format dxfId="35">
      <pivotArea field="3" type="button" dataOnly="0" labelOnly="1" outline="0" axis="axisPage" fieldPosition="0"/>
    </format>
    <format dxfId="34">
      <pivotArea field="0" type="button" dataOnly="0" labelOnly="1" outline="0" axis="axisRow" fieldPosition="0"/>
    </format>
    <format dxfId="33">
      <pivotArea field="0" type="button" dataOnly="0" labelOnly="1" outline="0" axis="axisRow" fieldPosition="0"/>
    </format>
    <format dxfId="32">
      <pivotArea field="2" type="button" dataOnly="0" labelOnly="1" outline="0" axis="axisRow" fieldPosition="1"/>
    </format>
    <format dxfId="31">
      <pivotArea field="4" type="button" dataOnly="0" labelOnly="1" outline="0" axis="axisRow" fieldPosition="2"/>
    </format>
    <format dxfId="30">
      <pivotArea field="8" type="button" dataOnly="0" labelOnly="1" outline="0" axis="axisRow" fieldPosition="3"/>
    </format>
    <format dxfId="29">
      <pivotArea field="7" type="button" dataOnly="0" labelOnly="1" outline="0" axis="axisRow" fieldPosition="4"/>
    </format>
    <format dxfId="28">
      <pivotArea dataOnly="0" labelOnly="1" outline="0" axis="axisValues" fieldPosition="0"/>
    </format>
    <format dxfId="27">
      <pivotArea dataOnly="0" labelOnly="1" grandRow="1" outline="0" offset="A256" fieldPosition="0"/>
    </format>
    <format dxfId="26">
      <pivotArea grandRow="1" outline="0" collapsedLevelsAreSubtotals="1" fieldPosition="0"/>
    </format>
    <format dxfId="25">
      <pivotArea dataOnly="0" labelOnly="1" grandRow="1" outline="0" offset="B256:IV256" fieldPosition="0"/>
    </format>
    <format dxfId="24">
      <pivotArea dataOnly="0" labelOnly="1" outline="0" fieldPosition="0">
        <references count="1">
          <reference field="0" count="0"/>
        </references>
      </pivotArea>
    </format>
    <format dxfId="23">
      <pivotArea outline="0" fieldPosition="0">
        <references count="1">
          <reference field="4294967294" count="1">
            <x v="0"/>
          </reference>
        </references>
      </pivotArea>
    </format>
    <format dxfId="22">
      <pivotArea type="all" dataOnly="0" outline="0" fieldPosition="0"/>
    </format>
    <format dxfId="21">
      <pivotArea outline="0" collapsedLevelsAreSubtotals="1" fieldPosition="0"/>
    </format>
    <format dxfId="20">
      <pivotArea field="0" type="button" dataOnly="0" labelOnly="1" outline="0" axis="axisRow" fieldPosition="0"/>
    </format>
    <format dxfId="19">
      <pivotArea field="2" type="button" dataOnly="0" labelOnly="1" outline="0" axis="axisRow" fieldPosition="1"/>
    </format>
    <format dxfId="18">
      <pivotArea field="4" type="button" dataOnly="0" labelOnly="1" outline="0" axis="axisRow" fieldPosition="2"/>
    </format>
    <format dxfId="17">
      <pivotArea field="8" type="button" dataOnly="0" labelOnly="1" outline="0" axis="axisRow" fieldPosition="3"/>
    </format>
    <format dxfId="16">
      <pivotArea field="7" type="button" dataOnly="0" labelOnly="1" outline="0" axis="axisRow" fieldPosition="4"/>
    </format>
    <format dxfId="15">
      <pivotArea dataOnly="0" labelOnly="1" outline="0" fieldPosition="0">
        <references count="1">
          <reference field="0" count="2">
            <x v="0"/>
            <x v="2"/>
          </reference>
        </references>
      </pivotArea>
    </format>
    <format dxfId="14">
      <pivotArea dataOnly="0" labelOnly="1" grandRow="1" outline="0" fieldPosition="0"/>
    </format>
    <format dxfId="13">
      <pivotArea dataOnly="0" labelOnly="1" outline="0" axis="axisValues" fieldPosition="0"/>
    </format>
    <format dxfId="12">
      <pivotArea dataOnly="0" labelOnly="1" outline="0" fieldPosition="0">
        <references count="1">
          <reference field="3" count="1">
            <x v="1"/>
          </reference>
        </references>
      </pivotArea>
    </format>
    <format dxfId="11">
      <pivotArea dataOnly="0" labelOnly="1" outline="0" fieldPosition="0">
        <references count="1">
          <reference field="0" count="1">
            <x v="2"/>
          </reference>
        </references>
      </pivotArea>
    </format>
    <format dxfId="10">
      <pivotArea grandRow="1" outline="0" collapsedLevelsAreSubtotals="1" fieldPosition="0"/>
    </format>
    <format dxfId="9">
      <pivotArea field="2" type="button" dataOnly="0" labelOnly="1" outline="0" axis="axisRow" fieldPosition="1"/>
    </format>
    <format dxfId="8">
      <pivotArea field="4" type="button" dataOnly="0" labelOnly="1" outline="0" axis="axisRow" fieldPosition="2"/>
    </format>
    <format dxfId="7">
      <pivotArea dataOnly="0" labelOnly="1" outline="0" fieldPosition="0">
        <references count="3">
          <reference field="0" count="1" selected="0">
            <x v="9"/>
          </reference>
          <reference field="2" count="1" selected="0">
            <x v="7"/>
          </reference>
          <reference field="4" count="1">
            <x v="5"/>
          </reference>
        </references>
      </pivotArea>
    </format>
    <format dxfId="6">
      <pivotArea dataOnly="0" labelOnly="1" outline="0" fieldPosition="0">
        <references count="3">
          <reference field="0" count="1" selected="0">
            <x v="9"/>
          </reference>
          <reference field="2" count="1" selected="0">
            <x v="7"/>
          </reference>
          <reference field="4" count="1">
            <x v="5"/>
          </reference>
        </references>
      </pivotArea>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1A1D77-6608-40E5-83B9-D89B1D466D8E}" name="PivotTable1" cacheId="22" applyNumberFormats="0" applyBorderFormats="0" applyFontFormats="0" applyPatternFormats="0" applyAlignmentFormats="0" applyWidthHeightFormats="1" dataCaption="Values" updatedVersion="7" minRefreshableVersion="3" showDrill="0" useAutoFormatting="1" itemPrintTitles="1" createdVersion="7" indent="0" compact="0" compactData="0" multipleFieldFilters="0">
  <location ref="B14:F16" firstHeaderRow="1" firstDataRow="1" firstDataCol="4" rowPageCount="2" colPageCount="1"/>
  <pivotFields count="11">
    <pivotField compact="0" outline="0" showAll="0" defaultSubtotal="0"/>
    <pivotField axis="axisRow" compact="0" outline="0" showAll="0" defaultSubtotal="0">
      <items count="3">
        <item x="2"/>
        <item x="0"/>
        <item x="1"/>
      </items>
    </pivotField>
    <pivotField compact="0" outline="0" showAll="0" defaultSubtotal="0"/>
    <pivotField axis="axisPage" compact="0" outline="0" showAll="0" defaultSubtotal="0">
      <items count="2">
        <item x="0"/>
        <item x="1"/>
      </items>
    </pivotField>
    <pivotField axis="axisRow" compact="0" outline="0" showAll="0" defaultSubtotal="0">
      <items count="2">
        <item x="0"/>
        <item x="1"/>
      </items>
    </pivotField>
    <pivotField compact="0" outline="0" showAll="0" defaultSubtotal="0"/>
    <pivotField dataField="1" compact="0" outline="0" showAll="0" defaultSubtotal="0"/>
    <pivotField axis="axisRow" compact="0" outline="0" showAll="0" defaultSubtotal="0">
      <items count="3">
        <item x="1"/>
        <item x="0"/>
        <item x="2"/>
      </items>
    </pivotField>
    <pivotField axis="axisPage" compact="0" outline="0" showAll="0" defaultSubtotal="0">
      <items count="4">
        <item x="2"/>
        <item x="0"/>
        <item x="1"/>
        <item x="3"/>
      </items>
    </pivotField>
    <pivotField compact="0" outline="0" showAll="0" defaultSubtotal="0"/>
    <pivotField axis="axisRow" compact="0" outline="0" showAll="0" defaultSubtotal="0">
      <items count="4">
        <item x="3"/>
        <item x="2"/>
        <item x="0"/>
        <item x="1"/>
      </items>
    </pivotField>
  </pivotFields>
  <rowFields count="4">
    <field x="10"/>
    <field x="1"/>
    <field x="4"/>
    <field x="7"/>
  </rowFields>
  <rowItems count="2">
    <i>
      <x v="2"/>
      <x v="1"/>
      <x/>
      <x v="1"/>
    </i>
    <i t="grand">
      <x/>
    </i>
  </rowItems>
  <colItems count="1">
    <i/>
  </colItems>
  <pageFields count="2">
    <pageField fld="3" item="0" hier="-1"/>
    <pageField fld="8" item="1" hier="-1"/>
  </pageFields>
  <dataFields count="1">
    <dataField name="Sum of Pago"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A1002"/>
  <sheetViews>
    <sheetView zoomScale="85" zoomScaleNormal="85" workbookViewId="0">
      <selection activeCell="D4" sqref="D4"/>
    </sheetView>
  </sheetViews>
  <sheetFormatPr defaultColWidth="14.44140625" defaultRowHeight="15" customHeight="1"/>
  <cols>
    <col min="1" max="1" width="9.5546875" customWidth="1"/>
    <col min="2" max="2" width="10.109375" customWidth="1"/>
    <col min="3" max="3" width="10.6640625" hidden="1" customWidth="1"/>
    <col min="4" max="4" width="23.5546875" customWidth="1"/>
    <col min="5" max="5" width="8" customWidth="1"/>
    <col min="6" max="6" width="12.44140625" customWidth="1"/>
    <col min="7" max="7" width="12" customWidth="1"/>
    <col min="8" max="8" width="30" customWidth="1"/>
    <col min="9" max="9" width="22" bestFit="1" customWidth="1"/>
    <col min="10" max="10" width="10.6640625" style="106" hidden="1" customWidth="1"/>
    <col min="11" max="11" width="14.44140625" style="106" bestFit="1" customWidth="1"/>
    <col min="12" max="27" width="10.6640625" customWidth="1"/>
  </cols>
  <sheetData>
    <row r="1" spans="1:27" ht="14.4">
      <c r="A1" s="1" t="s">
        <v>0</v>
      </c>
      <c r="B1" s="1" t="s">
        <v>1</v>
      </c>
      <c r="C1" s="2" t="s">
        <v>2</v>
      </c>
      <c r="D1" s="3" t="s">
        <v>3</v>
      </c>
      <c r="E1" s="2" t="s">
        <v>4</v>
      </c>
      <c r="F1" s="2" t="s">
        <v>5</v>
      </c>
      <c r="G1" s="3" t="s">
        <v>6</v>
      </c>
      <c r="H1" s="3" t="s">
        <v>7</v>
      </c>
      <c r="I1" s="4" t="s">
        <v>8</v>
      </c>
      <c r="J1" s="4" t="s">
        <v>93</v>
      </c>
      <c r="K1" s="4" t="s">
        <v>80</v>
      </c>
    </row>
    <row r="2" spans="1:27" thickBot="1">
      <c r="A2" s="135">
        <v>1</v>
      </c>
      <c r="B2" s="136">
        <v>46236</v>
      </c>
      <c r="C2" s="5" t="str">
        <f t="shared" ref="C2:C117" si="0">IF(B2="","",TEXT(B2,"DD/MM/YYYY"))</f>
        <v>02/08/2026</v>
      </c>
      <c r="D2" s="137" t="s">
        <v>11</v>
      </c>
      <c r="E2" s="5">
        <f t="shared" ref="E2:E66" si="1">IF(B2="","",WEEKNUM(B2,21))</f>
        <v>31</v>
      </c>
      <c r="F2" s="5" t="str">
        <f t="shared" ref="F2:F66" si="2">IF(B2="","",TEXT(B2,"mmmmmmmmmmm"))</f>
        <v>agosto</v>
      </c>
      <c r="G2" s="138">
        <v>300000</v>
      </c>
      <c r="H2" s="6" t="str">
        <f t="shared" ref="H2:H65" si="3">IF(G2="","",CONVERTIRNUM(G2))</f>
        <v>Trescientos Mil Pesos</v>
      </c>
      <c r="I2" s="139" t="s">
        <v>66</v>
      </c>
      <c r="J2" s="106" t="str">
        <f>IF(I2="Inscripcion 2025 - 2026","INS25",IF(I2="Inscripcion 2026 - 2027","INS26",IF(I2="FOFI","F",IF(I2="Amarillas","A",IF(I2="Rojas","R",IF(I2="Carnet","C",IF(I2="Multas","M","")))))))</f>
        <v>INS26</v>
      </c>
      <c r="K2" s="134" t="str">
        <f>IF(J2="INS25",J2&amp;TEXT(COUNTIF($J$2:J2,"INS25"),"000"),IF(J2="C",J2&amp;TEXT(COUNTIF($J$2:J2,"C"),"000"),IF(J2="R",J2&amp;TEXT(COUNTIF($J$2:J2,"R"),"000"),IF(J2="A",J2&amp;TEXT(COUNTIF($J$2:J2,"A"),"000"),IF(J2="F",J2&amp;TEXT(COUNTIF($J$2:J2,"F"),"000"),IF(J2="M",J2&amp;TEXT(COUNTIF($J$2:J2,"M"),"000"),IF(J2="INS26",J2&amp;TEXT(COUNTIF($J$2:J2,"INS26"),"000"),"")))))))</f>
        <v>INS26001</v>
      </c>
      <c r="M2" s="165" t="s">
        <v>59</v>
      </c>
      <c r="N2" s="166"/>
      <c r="O2" s="166"/>
      <c r="P2" s="166"/>
      <c r="Q2" s="166"/>
    </row>
    <row r="3" spans="1:27" ht="15" customHeight="1">
      <c r="A3" s="135"/>
      <c r="B3" s="136"/>
      <c r="C3" s="5" t="str">
        <f t="shared" si="0"/>
        <v/>
      </c>
      <c r="D3" s="137"/>
      <c r="E3" s="5" t="str">
        <f t="shared" si="1"/>
        <v/>
      </c>
      <c r="F3" s="5" t="str">
        <f t="shared" si="2"/>
        <v/>
      </c>
      <c r="G3" s="138"/>
      <c r="H3" s="6" t="str">
        <f t="shared" si="3"/>
        <v/>
      </c>
      <c r="I3" s="139" t="s">
        <v>64</v>
      </c>
      <c r="J3" s="106" t="str">
        <f t="shared" ref="J3:J66" si="4">IF(I3="Inscripcion 2025 - 2026","INS25",IF(I3="Inscripcion 2026 - 2027","INS26",IF(I3="FOFI","F",IF(I3="Amarillas","A",IF(I3="Rojas","R",IF(I3="Carnet","C",IF(I3="Multas","M","")))))))</f>
        <v>M</v>
      </c>
      <c r="K3" s="134" t="str">
        <f>IF(J3="INS25",J3&amp;TEXT(COUNTIF($J$2:J3,"INS25"),"000"),IF(J3="C",J3&amp;TEXT(COUNTIF($J$2:J3,"C"),"000"),IF(J3="R",J3&amp;TEXT(COUNTIF($J$2:J3,"R"),"000"),IF(J3="A",J3&amp;TEXT(COUNTIF($J$2:J3,"A"),"000"),IF(J3="F",J3&amp;TEXT(COUNTIF($J$2:J3,"F"),"000"),IF(J3="M",J3&amp;TEXT(COUNTIF($J$2:J3,"M"),"000"),IF(J3="INS26",J3&amp;TEXT(COUNTIF($J$2:J3,"INS26"),"000"),"")))))))</f>
        <v>M001</v>
      </c>
      <c r="M3" s="167" t="s">
        <v>60</v>
      </c>
      <c r="N3" s="168"/>
      <c r="O3" s="168"/>
      <c r="P3" s="168"/>
      <c r="Q3" s="168"/>
      <c r="R3" s="168"/>
      <c r="S3" s="168"/>
      <c r="T3" s="169"/>
    </row>
    <row r="4" spans="1:27" ht="14.4">
      <c r="A4" s="135">
        <v>3</v>
      </c>
      <c r="B4" s="136">
        <v>46235</v>
      </c>
      <c r="C4" s="5" t="str">
        <f t="shared" si="0"/>
        <v>01/08/2026</v>
      </c>
      <c r="D4" s="137" t="s">
        <v>11</v>
      </c>
      <c r="E4" s="5">
        <f t="shared" si="1"/>
        <v>31</v>
      </c>
      <c r="F4" s="5" t="str">
        <f t="shared" si="2"/>
        <v>agosto</v>
      </c>
      <c r="G4" s="138">
        <v>300000</v>
      </c>
      <c r="H4" s="6" t="str">
        <f t="shared" si="3"/>
        <v>Trescientos Mil Pesos</v>
      </c>
      <c r="I4" s="139" t="s">
        <v>36</v>
      </c>
      <c r="J4" s="106" t="str">
        <f t="shared" si="4"/>
        <v>C</v>
      </c>
      <c r="K4" s="134" t="str">
        <f>IF(J4="INS25",J4&amp;TEXT(COUNTIF($J$2:J4,"INS25"),"000"),IF(J4="C",J4&amp;TEXT(COUNTIF($J$2:J4,"C"),"000"),IF(J4="R",J4&amp;TEXT(COUNTIF($J$2:J4,"R"),"000"),IF(J4="A",J4&amp;TEXT(COUNTIF($J$2:J4,"A"),"000"),IF(J4="F",J4&amp;TEXT(COUNTIF($J$2:J4,"F"),"000"),IF(J4="M",J4&amp;TEXT(COUNTIF($J$2:J4,"M"),"000"),IF(J4="INS26",J4&amp;TEXT(COUNTIF($J$2:J4,"INS26"),"000"),"")))))))</f>
        <v>C001</v>
      </c>
      <c r="M4" s="170"/>
      <c r="N4" s="171"/>
      <c r="O4" s="171"/>
      <c r="P4" s="171"/>
      <c r="Q4" s="171"/>
      <c r="R4" s="171"/>
      <c r="S4" s="171"/>
      <c r="T4" s="172"/>
    </row>
    <row r="5" spans="1:27" ht="14.4">
      <c r="A5" s="135"/>
      <c r="B5" s="136"/>
      <c r="C5" s="5" t="str">
        <f t="shared" si="0"/>
        <v/>
      </c>
      <c r="D5" s="137"/>
      <c r="E5" s="5" t="str">
        <f t="shared" si="1"/>
        <v/>
      </c>
      <c r="F5" s="5" t="str">
        <f t="shared" si="2"/>
        <v/>
      </c>
      <c r="G5" s="138"/>
      <c r="H5" s="6" t="str">
        <f t="shared" si="3"/>
        <v/>
      </c>
      <c r="I5" s="139"/>
      <c r="J5" s="106" t="str">
        <f t="shared" si="4"/>
        <v/>
      </c>
      <c r="K5" s="134" t="str">
        <f>IF(J5="INS25",J5&amp;TEXT(COUNTIF($J$2:J5,"INS25"),"000"),IF(J5="C",J5&amp;TEXT(COUNTIF($J$2:J5,"C"),"000"),IF(J5="R",J5&amp;TEXT(COUNTIF($J$2:J5,"R"),"000"),IF(J5="A",J5&amp;TEXT(COUNTIF($J$2:J5,"A"),"000"),IF(J5="F",J5&amp;TEXT(COUNTIF($J$2:J5,"F"),"000"),IF(J5="M",J5&amp;TEXT(COUNTIF($J$2:J5,"M"),"000"),IF(J5="INS26",J5&amp;TEXT(COUNTIF($J$2:J5,"INS26"),"000"),"")))))))</f>
        <v/>
      </c>
      <c r="M5" s="170"/>
      <c r="N5" s="171"/>
      <c r="O5" s="171"/>
      <c r="P5" s="171"/>
      <c r="Q5" s="171"/>
      <c r="R5" s="171"/>
      <c r="S5" s="171"/>
      <c r="T5" s="172"/>
    </row>
    <row r="6" spans="1:27" ht="14.4">
      <c r="A6" s="135"/>
      <c r="B6" s="136"/>
      <c r="C6" s="8" t="str">
        <f t="shared" si="0"/>
        <v/>
      </c>
      <c r="D6" s="137"/>
      <c r="E6" s="8" t="str">
        <f t="shared" si="1"/>
        <v/>
      </c>
      <c r="F6" s="8" t="str">
        <f t="shared" si="2"/>
        <v/>
      </c>
      <c r="G6" s="138"/>
      <c r="H6" s="7" t="str">
        <f t="shared" si="3"/>
        <v/>
      </c>
      <c r="I6" s="139"/>
      <c r="J6" s="106" t="str">
        <f t="shared" si="4"/>
        <v/>
      </c>
      <c r="K6" s="134" t="str">
        <f>IF(J6="INS25",J6&amp;TEXT(COUNTIF($J$2:J6,"INS25"),"000"),IF(J6="C",J6&amp;TEXT(COUNTIF($J$2:J6,"C"),"000"),IF(J6="R",J6&amp;TEXT(COUNTIF($J$2:J6,"R"),"000"),IF(J6="A",J6&amp;TEXT(COUNTIF($J$2:J6,"A"),"000"),IF(J6="F",J6&amp;TEXT(COUNTIF($J$2:J6,"F"),"000"),IF(J6="M",J6&amp;TEXT(COUNTIF($J$2:J6,"M"),"000"),IF(J6="INS26",J6&amp;TEXT(COUNTIF($J$2:J6,"INS26"),"000"),"")))))))</f>
        <v/>
      </c>
      <c r="L6" s="9"/>
      <c r="M6" s="170"/>
      <c r="N6" s="171"/>
      <c r="O6" s="171"/>
      <c r="P6" s="171"/>
      <c r="Q6" s="171"/>
      <c r="R6" s="171"/>
      <c r="S6" s="171"/>
      <c r="T6" s="172"/>
      <c r="U6" s="9"/>
      <c r="V6" s="9"/>
      <c r="W6" s="9"/>
      <c r="X6" s="9"/>
      <c r="Y6" s="9"/>
      <c r="Z6" s="9"/>
      <c r="AA6" s="9"/>
    </row>
    <row r="7" spans="1:27" ht="14.4">
      <c r="A7" s="135"/>
      <c r="B7" s="136"/>
      <c r="C7" s="5" t="str">
        <f t="shared" si="0"/>
        <v/>
      </c>
      <c r="D7" s="137"/>
      <c r="E7" s="5" t="str">
        <f t="shared" si="1"/>
        <v/>
      </c>
      <c r="F7" s="5" t="str">
        <f t="shared" si="2"/>
        <v/>
      </c>
      <c r="G7" s="138"/>
      <c r="H7" s="6" t="str">
        <f t="shared" si="3"/>
        <v/>
      </c>
      <c r="I7" s="139"/>
      <c r="J7" s="106" t="str">
        <f t="shared" si="4"/>
        <v/>
      </c>
      <c r="K7" s="134" t="str">
        <f>IF(J7="INS25",J7&amp;TEXT(COUNTIF($J$2:J7,"INS25"),"000"),IF(J7="C",J7&amp;TEXT(COUNTIF($J$2:J7,"C"),"000"),IF(J7="R",J7&amp;TEXT(COUNTIF($J$2:J7,"R"),"000"),IF(J7="A",J7&amp;TEXT(COUNTIF($J$2:J7,"A"),"000"),IF(J7="F",J7&amp;TEXT(COUNTIF($J$2:J7,"F"),"000"),IF(J7="M",J7&amp;TEXT(COUNTIF($J$2:J7,"M"),"000"),IF(J7="INS26",J7&amp;TEXT(COUNTIF($J$2:J7,"INS26"),"000"),"")))))))</f>
        <v/>
      </c>
      <c r="M7" s="170"/>
      <c r="N7" s="171"/>
      <c r="O7" s="171"/>
      <c r="P7" s="171"/>
      <c r="Q7" s="171"/>
      <c r="R7" s="171"/>
      <c r="S7" s="171"/>
      <c r="T7" s="172"/>
    </row>
    <row r="8" spans="1:27" ht="14.4">
      <c r="A8" s="135"/>
      <c r="B8" s="136"/>
      <c r="C8" s="5" t="str">
        <f t="shared" si="0"/>
        <v/>
      </c>
      <c r="D8" s="137"/>
      <c r="E8" s="5" t="str">
        <f t="shared" si="1"/>
        <v/>
      </c>
      <c r="F8" s="5" t="str">
        <f t="shared" si="2"/>
        <v/>
      </c>
      <c r="G8" s="138"/>
      <c r="H8" s="6" t="str">
        <f t="shared" si="3"/>
        <v/>
      </c>
      <c r="I8" s="139"/>
      <c r="J8" s="106" t="str">
        <f t="shared" si="4"/>
        <v/>
      </c>
      <c r="K8" s="134" t="str">
        <f>IF(J8="INS25",J8&amp;TEXT(COUNTIF($J$2:J8,"INS25"),"000"),IF(J8="C",J8&amp;TEXT(COUNTIF($J$2:J8,"C"),"000"),IF(J8="R",J8&amp;TEXT(COUNTIF($J$2:J8,"R"),"000"),IF(J8="A",J8&amp;TEXT(COUNTIF($J$2:J8,"A"),"000"),IF(J8="F",J8&amp;TEXT(COUNTIF($J$2:J8,"F"),"000"),IF(J8="M",J8&amp;TEXT(COUNTIF($J$2:J8,"M"),"000"),IF(J8="INS26",J8&amp;TEXT(COUNTIF($J$2:J8,"INS26"),"000"),"")))))))</f>
        <v/>
      </c>
      <c r="M8" s="170"/>
      <c r="N8" s="171"/>
      <c r="O8" s="171"/>
      <c r="P8" s="171"/>
      <c r="Q8" s="171"/>
      <c r="R8" s="171"/>
      <c r="S8" s="171"/>
      <c r="T8" s="172"/>
    </row>
    <row r="9" spans="1:27" ht="14.4">
      <c r="A9" s="135"/>
      <c r="B9" s="136"/>
      <c r="C9" s="5" t="str">
        <f t="shared" si="0"/>
        <v/>
      </c>
      <c r="D9" s="137"/>
      <c r="E9" s="5" t="str">
        <f t="shared" si="1"/>
        <v/>
      </c>
      <c r="F9" s="5" t="str">
        <f t="shared" si="2"/>
        <v/>
      </c>
      <c r="G9" s="138"/>
      <c r="H9" s="6" t="str">
        <f t="shared" si="3"/>
        <v/>
      </c>
      <c r="I9" s="139"/>
      <c r="J9" s="106" t="str">
        <f t="shared" si="4"/>
        <v/>
      </c>
      <c r="K9" s="134" t="str">
        <f>IF(J9="INS25",J9&amp;TEXT(COUNTIF($J$2:J9,"INS25"),"000"),IF(J9="C",J9&amp;TEXT(COUNTIF($J$2:J9,"C"),"000"),IF(J9="R",J9&amp;TEXT(COUNTIF($J$2:J9,"R"),"000"),IF(J9="A",J9&amp;TEXT(COUNTIF($J$2:J9,"A"),"000"),IF(J9="F",J9&amp;TEXT(COUNTIF($J$2:J9,"F"),"000"),IF(J9="M",J9&amp;TEXT(COUNTIF($J$2:J9,"M"),"000"),IF(J9="INS26",J9&amp;TEXT(COUNTIF($J$2:J9,"INS26"),"000"),"")))))))</f>
        <v/>
      </c>
      <c r="M9" s="170"/>
      <c r="N9" s="171"/>
      <c r="O9" s="171"/>
      <c r="P9" s="171"/>
      <c r="Q9" s="171"/>
      <c r="R9" s="171"/>
      <c r="S9" s="171"/>
      <c r="T9" s="172"/>
    </row>
    <row r="10" spans="1:27" ht="14.4">
      <c r="A10" s="135" t="str">
        <f t="shared" ref="A10:A66" si="5">K10</f>
        <v/>
      </c>
      <c r="B10" s="136"/>
      <c r="C10" s="5" t="str">
        <f t="shared" si="0"/>
        <v/>
      </c>
      <c r="D10" s="137"/>
      <c r="E10" s="5" t="str">
        <f t="shared" si="1"/>
        <v/>
      </c>
      <c r="F10" s="5" t="str">
        <f t="shared" si="2"/>
        <v/>
      </c>
      <c r="G10" s="138"/>
      <c r="H10" s="6" t="str">
        <f t="shared" si="3"/>
        <v/>
      </c>
      <c r="I10" s="139"/>
      <c r="J10" s="106" t="str">
        <f t="shared" si="4"/>
        <v/>
      </c>
      <c r="K10" s="134" t="str">
        <f>IF(J10="INS25",J10&amp;TEXT(COUNTIF($J$2:J10,"INS25"),"000"),IF(J10="C",J10&amp;TEXT(COUNTIF($J$2:J10,"C"),"000"),IF(J10="R",J10&amp;TEXT(COUNTIF($J$2:J10,"R"),"000"),IF(J10="A",J10&amp;TEXT(COUNTIF($J$2:J10,"A"),"000"),IF(J10="F",J10&amp;TEXT(COUNTIF($J$2:J10,"F"),"000"),IF(J10="M",J10&amp;TEXT(COUNTIF($J$2:J10,"M"),"000"),IF(J10="INS26",J10&amp;TEXT(COUNTIF($J$2:J10,"INS26"),"000"),"")))))))</f>
        <v/>
      </c>
      <c r="M10" s="170"/>
      <c r="N10" s="171"/>
      <c r="O10" s="171"/>
      <c r="P10" s="171"/>
      <c r="Q10" s="171"/>
      <c r="R10" s="171"/>
      <c r="S10" s="171"/>
      <c r="T10" s="172"/>
    </row>
    <row r="11" spans="1:27" ht="14.4">
      <c r="A11" s="135" t="str">
        <f t="shared" si="5"/>
        <v/>
      </c>
      <c r="B11" s="136"/>
      <c r="C11" s="5" t="str">
        <f t="shared" si="0"/>
        <v/>
      </c>
      <c r="D11" s="137"/>
      <c r="E11" s="5" t="str">
        <f t="shared" si="1"/>
        <v/>
      </c>
      <c r="F11" s="5" t="str">
        <f t="shared" si="2"/>
        <v/>
      </c>
      <c r="G11" s="138"/>
      <c r="H11" s="6" t="str">
        <f t="shared" si="3"/>
        <v/>
      </c>
      <c r="I11" s="139"/>
      <c r="J11" s="106" t="str">
        <f t="shared" si="4"/>
        <v/>
      </c>
      <c r="K11" s="134" t="str">
        <f>IF(J11="INS25",J11&amp;TEXT(COUNTIF($J$2:J11,"INS25"),"000"),IF(J11="C",J11&amp;TEXT(COUNTIF($J$2:J11,"C"),"000"),IF(J11="R",J11&amp;TEXT(COUNTIF($J$2:J11,"R"),"000"),IF(J11="A",J11&amp;TEXT(COUNTIF($J$2:J11,"A"),"000"),IF(J11="F",J11&amp;TEXT(COUNTIF($J$2:J11,"F"),"000"),IF(J11="M",J11&amp;TEXT(COUNTIF($J$2:J11,"M"),"000"),IF(J11="INS26",J11&amp;TEXT(COUNTIF($J$2:J11,"INS26"),"000"),"")))))))</f>
        <v/>
      </c>
      <c r="M11" s="170"/>
      <c r="N11" s="171"/>
      <c r="O11" s="171"/>
      <c r="P11" s="171"/>
      <c r="Q11" s="171"/>
      <c r="R11" s="171"/>
      <c r="S11" s="171"/>
      <c r="T11" s="172"/>
    </row>
    <row r="12" spans="1:27" ht="14.4">
      <c r="A12" s="135" t="str">
        <f t="shared" si="5"/>
        <v/>
      </c>
      <c r="B12" s="136"/>
      <c r="C12" s="5" t="str">
        <f t="shared" si="0"/>
        <v/>
      </c>
      <c r="D12" s="137"/>
      <c r="E12" s="5" t="str">
        <f t="shared" si="1"/>
        <v/>
      </c>
      <c r="F12" s="5" t="str">
        <f t="shared" si="2"/>
        <v/>
      </c>
      <c r="G12" s="138"/>
      <c r="H12" s="6" t="str">
        <f t="shared" si="3"/>
        <v/>
      </c>
      <c r="I12" s="139"/>
      <c r="J12" s="106" t="str">
        <f t="shared" si="4"/>
        <v/>
      </c>
      <c r="K12" s="134" t="str">
        <f>IF(J12="INS25",J12&amp;TEXT(COUNTIF($J$2:J12,"INS25"),"000"),IF(J12="C",J12&amp;TEXT(COUNTIF($J$2:J12,"C"),"000"),IF(J12="R",J12&amp;TEXT(COUNTIF($J$2:J12,"R"),"000"),IF(J12="A",J12&amp;TEXT(COUNTIF($J$2:J12,"A"),"000"),IF(J12="F",J12&amp;TEXT(COUNTIF($J$2:J12,"F"),"000"),IF(J12="M",J12&amp;TEXT(COUNTIF($J$2:J12,"M"),"000"),IF(J12="INS26",J12&amp;TEXT(COUNTIF($J$2:J12,"INS26"),"000"),"")))))))</f>
        <v/>
      </c>
      <c r="M12" s="170"/>
      <c r="N12" s="171"/>
      <c r="O12" s="171"/>
      <c r="P12" s="171"/>
      <c r="Q12" s="171"/>
      <c r="R12" s="171"/>
      <c r="S12" s="171"/>
      <c r="T12" s="172"/>
    </row>
    <row r="13" spans="1:27" thickBot="1">
      <c r="A13" s="135" t="str">
        <f t="shared" si="5"/>
        <v/>
      </c>
      <c r="B13" s="136"/>
      <c r="C13" s="5" t="str">
        <f t="shared" si="0"/>
        <v/>
      </c>
      <c r="D13" s="137"/>
      <c r="E13" s="5" t="str">
        <f t="shared" si="1"/>
        <v/>
      </c>
      <c r="F13" s="5" t="str">
        <f t="shared" si="2"/>
        <v/>
      </c>
      <c r="G13" s="138"/>
      <c r="H13" s="6" t="str">
        <f t="shared" si="3"/>
        <v/>
      </c>
      <c r="I13" s="139"/>
      <c r="J13" s="106" t="str">
        <f t="shared" si="4"/>
        <v/>
      </c>
      <c r="K13" s="134" t="str">
        <f>IF(J13="INS25",J13&amp;TEXT(COUNTIF($J$2:J13,"INS25"),"000"),IF(J13="C",J13&amp;TEXT(COUNTIF($J$2:J13,"C"),"000"),IF(J13="R",J13&amp;TEXT(COUNTIF($J$2:J13,"R"),"000"),IF(J13="A",J13&amp;TEXT(COUNTIF($J$2:J13,"A"),"000"),IF(J13="F",J13&amp;TEXT(COUNTIF($J$2:J13,"F"),"000"),IF(J13="M",J13&amp;TEXT(COUNTIF($J$2:J13,"M"),"000"),IF(J13="INS26",J13&amp;TEXT(COUNTIF($J$2:J13,"INS26"),"000"),"")))))))</f>
        <v/>
      </c>
      <c r="M13" s="173"/>
      <c r="N13" s="174"/>
      <c r="O13" s="174"/>
      <c r="P13" s="174"/>
      <c r="Q13" s="174"/>
      <c r="R13" s="174"/>
      <c r="S13" s="174"/>
      <c r="T13" s="175"/>
    </row>
    <row r="14" spans="1:27" thickBot="1">
      <c r="A14" s="135" t="str">
        <f t="shared" si="5"/>
        <v/>
      </c>
      <c r="B14" s="136"/>
      <c r="C14" s="5" t="str">
        <f t="shared" si="0"/>
        <v/>
      </c>
      <c r="D14" s="137"/>
      <c r="E14" s="5" t="str">
        <f t="shared" si="1"/>
        <v/>
      </c>
      <c r="F14" s="5" t="str">
        <f t="shared" si="2"/>
        <v/>
      </c>
      <c r="G14" s="138"/>
      <c r="H14" s="6" t="str">
        <f t="shared" si="3"/>
        <v/>
      </c>
      <c r="I14" s="139"/>
      <c r="J14" s="106" t="str">
        <f t="shared" si="4"/>
        <v/>
      </c>
      <c r="K14" s="134" t="str">
        <f>IF(J14="INS25",J14&amp;TEXT(COUNTIF($J$2:J14,"INS25"),"000"),IF(J14="C",J14&amp;TEXT(COUNTIF($J$2:J14,"C"),"000"),IF(J14="R",J14&amp;TEXT(COUNTIF($J$2:J14,"R"),"000"),IF(J14="A",J14&amp;TEXT(COUNTIF($J$2:J14,"A"),"000"),IF(J14="F",J14&amp;TEXT(COUNTIF($J$2:J14,"F"),"000"),IF(J14="M",J14&amp;TEXT(COUNTIF($J$2:J14,"M"),"000"),IF(J14="INS26",J14&amp;TEXT(COUNTIF($J$2:J14,"INS26"),"000"),"")))))))</f>
        <v/>
      </c>
    </row>
    <row r="15" spans="1:27" ht="14.4">
      <c r="A15" s="135" t="str">
        <f t="shared" si="5"/>
        <v/>
      </c>
      <c r="B15" s="136"/>
      <c r="C15" s="5" t="str">
        <f>IF(B15="","",TEXT(B15,"DD/MM/YYYY"))</f>
        <v/>
      </c>
      <c r="D15" s="137"/>
      <c r="E15" s="5" t="str">
        <f>IF(B15="","",WEEKNUM(B15,21))</f>
        <v/>
      </c>
      <c r="F15" s="5" t="str">
        <f>IF(B15="","",TEXT(B15,"mmmmmmmmmmm"))</f>
        <v/>
      </c>
      <c r="G15" s="138"/>
      <c r="H15" s="6" t="str">
        <f>IF(G15="","",CONVERTIRNUM(G15))</f>
        <v/>
      </c>
      <c r="I15" s="139"/>
      <c r="J15" s="106" t="str">
        <f t="shared" si="4"/>
        <v/>
      </c>
      <c r="K15" s="134" t="str">
        <f>IF(J15="INS25",J15&amp;TEXT(COUNTIF($J$2:J15,"INS25"),"000"),IF(J15="C",J15&amp;TEXT(COUNTIF($J$2:J15,"C"),"000"),IF(J15="R",J15&amp;TEXT(COUNTIF($J$2:J15,"R"),"000"),IF(J15="A",J15&amp;TEXT(COUNTIF($J$2:J15,"A"),"000"),IF(J15="F",J15&amp;TEXT(COUNTIF($J$2:J15,"F"),"000"),IF(J15="M",J15&amp;TEXT(COUNTIF($J$2:J15,"M"),"000"),IF(J15="INS26",J15&amp;TEXT(COUNTIF($J$2:J15,"INS26"),"000"),"")))))))</f>
        <v/>
      </c>
      <c r="M15" s="176" t="s">
        <v>67</v>
      </c>
      <c r="N15" s="177"/>
      <c r="O15" s="177"/>
      <c r="P15" s="177"/>
      <c r="Q15" s="177"/>
      <c r="R15" s="177"/>
      <c r="S15" s="177"/>
      <c r="T15" s="178"/>
    </row>
    <row r="16" spans="1:27" ht="14.4">
      <c r="A16" s="135" t="str">
        <f t="shared" si="5"/>
        <v/>
      </c>
      <c r="B16" s="136"/>
      <c r="C16" s="5" t="str">
        <f t="shared" si="0"/>
        <v/>
      </c>
      <c r="D16" s="137"/>
      <c r="E16" s="5" t="str">
        <f t="shared" si="1"/>
        <v/>
      </c>
      <c r="F16" s="5" t="str">
        <f t="shared" si="2"/>
        <v/>
      </c>
      <c r="G16" s="138"/>
      <c r="H16" s="6" t="str">
        <f t="shared" si="3"/>
        <v/>
      </c>
      <c r="I16" s="139"/>
      <c r="J16" s="106" t="str">
        <f t="shared" si="4"/>
        <v/>
      </c>
      <c r="K16" s="134" t="str">
        <f>IF(J16="INS25",J16&amp;TEXT(COUNTIF($J$2:J16,"INS25"),"000"),IF(J16="C",J16&amp;TEXT(COUNTIF($J$2:J16,"C"),"000"),IF(J16="R",J16&amp;TEXT(COUNTIF($J$2:J16,"R"),"000"),IF(J16="A",J16&amp;TEXT(COUNTIF($J$2:J16,"A"),"000"),IF(J16="F",J16&amp;TEXT(COUNTIF($J$2:J16,"F"),"000"),IF(J16="M",J16&amp;TEXT(COUNTIF($J$2:J16,"M"),"000"),IF(J16="INS26",J16&amp;TEXT(COUNTIF($J$2:J16,"INS26"),"000"),"")))))))</f>
        <v/>
      </c>
      <c r="M16" s="179"/>
      <c r="N16" s="180"/>
      <c r="O16" s="180"/>
      <c r="P16" s="180"/>
      <c r="Q16" s="180"/>
      <c r="R16" s="180"/>
      <c r="S16" s="180"/>
      <c r="T16" s="181"/>
    </row>
    <row r="17" spans="1:20" ht="14.4">
      <c r="A17" s="135" t="str">
        <f t="shared" si="5"/>
        <v/>
      </c>
      <c r="B17" s="136"/>
      <c r="C17" s="5" t="str">
        <f t="shared" si="0"/>
        <v/>
      </c>
      <c r="D17" s="137"/>
      <c r="E17" s="5" t="str">
        <f t="shared" si="1"/>
        <v/>
      </c>
      <c r="F17" s="5" t="str">
        <f t="shared" si="2"/>
        <v/>
      </c>
      <c r="G17" s="138"/>
      <c r="H17" s="6" t="str">
        <f t="shared" si="3"/>
        <v/>
      </c>
      <c r="I17" s="139"/>
      <c r="J17" s="106" t="str">
        <f t="shared" si="4"/>
        <v/>
      </c>
      <c r="K17" s="134" t="str">
        <f>IF(J17="INS25",J17&amp;TEXT(COUNTIF($J$2:J17,"INS25"),"000"),IF(J17="C",J17&amp;TEXT(COUNTIF($J$2:J17,"C"),"000"),IF(J17="R",J17&amp;TEXT(COUNTIF($J$2:J17,"R"),"000"),IF(J17="A",J17&amp;TEXT(COUNTIF($J$2:J17,"A"),"000"),IF(J17="F",J17&amp;TEXT(COUNTIF($J$2:J17,"F"),"000"),IF(J17="M",J17&amp;TEXT(COUNTIF($J$2:J17,"M"),"000"),IF(J17="INS26",J17&amp;TEXT(COUNTIF($J$2:J17,"INS26"),"000"),"")))))))</f>
        <v/>
      </c>
      <c r="M17" s="179"/>
      <c r="N17" s="180"/>
      <c r="O17" s="180"/>
      <c r="P17" s="180"/>
      <c r="Q17" s="180"/>
      <c r="R17" s="180"/>
      <c r="S17" s="180"/>
      <c r="T17" s="181"/>
    </row>
    <row r="18" spans="1:20" thickBot="1">
      <c r="A18" s="135" t="str">
        <f t="shared" si="5"/>
        <v/>
      </c>
      <c r="B18" s="136"/>
      <c r="C18" s="5" t="str">
        <f t="shared" si="0"/>
        <v/>
      </c>
      <c r="D18" s="137"/>
      <c r="E18" s="5" t="str">
        <f t="shared" si="1"/>
        <v/>
      </c>
      <c r="F18" s="5" t="str">
        <f t="shared" si="2"/>
        <v/>
      </c>
      <c r="G18" s="138"/>
      <c r="H18" s="6" t="str">
        <f t="shared" si="3"/>
        <v/>
      </c>
      <c r="I18" s="139"/>
      <c r="J18" s="106" t="str">
        <f t="shared" si="4"/>
        <v/>
      </c>
      <c r="K18" s="134" t="str">
        <f>IF(J18="INS25",J18&amp;TEXT(COUNTIF($J$2:J18,"INS25"),"000"),IF(J18="C",J18&amp;TEXT(COUNTIF($J$2:J18,"C"),"000"),IF(J18="R",J18&amp;TEXT(COUNTIF($J$2:J18,"R"),"000"),IF(J18="A",J18&amp;TEXT(COUNTIF($J$2:J18,"A"),"000"),IF(J18="F",J18&amp;TEXT(COUNTIF($J$2:J18,"F"),"000"),IF(J18="M",J18&amp;TEXT(COUNTIF($J$2:J18,"M"),"000"),IF(J18="INS26",J18&amp;TEXT(COUNTIF($J$2:J18,"INS26"),"000"),"")))))))</f>
        <v/>
      </c>
      <c r="M18" s="182"/>
      <c r="N18" s="183"/>
      <c r="O18" s="183"/>
      <c r="P18" s="183"/>
      <c r="Q18" s="183"/>
      <c r="R18" s="183"/>
      <c r="S18" s="183"/>
      <c r="T18" s="184"/>
    </row>
    <row r="19" spans="1:20" ht="14.4">
      <c r="A19" s="135" t="str">
        <f t="shared" si="5"/>
        <v/>
      </c>
      <c r="B19" s="136"/>
      <c r="C19" s="5" t="str">
        <f t="shared" si="0"/>
        <v/>
      </c>
      <c r="D19" s="137"/>
      <c r="E19" s="5" t="str">
        <f t="shared" si="1"/>
        <v/>
      </c>
      <c r="F19" s="5" t="str">
        <f t="shared" si="2"/>
        <v/>
      </c>
      <c r="G19" s="138"/>
      <c r="H19" s="6" t="str">
        <f t="shared" si="3"/>
        <v/>
      </c>
      <c r="I19" s="139"/>
      <c r="J19" s="106" t="str">
        <f t="shared" si="4"/>
        <v/>
      </c>
      <c r="K19" s="134" t="str">
        <f>IF(J19="INS25",J19&amp;TEXT(COUNTIF($J$2:J19,"INS25"),"000"),IF(J19="C",J19&amp;TEXT(COUNTIF($J$2:J19,"C"),"000"),IF(J19="R",J19&amp;TEXT(COUNTIF($J$2:J19,"R"),"000"),IF(J19="A",J19&amp;TEXT(COUNTIF($J$2:J19,"A"),"000"),IF(J19="F",J19&amp;TEXT(COUNTIF($J$2:J19,"F"),"000"),IF(J19="M",J19&amp;TEXT(COUNTIF($J$2:J19,"M"),"000"),IF(J19="INS26",J19&amp;TEXT(COUNTIF($J$2:J19,"INS26"),"000"),"")))))))</f>
        <v/>
      </c>
    </row>
    <row r="20" spans="1:20" ht="14.4">
      <c r="A20" s="135" t="str">
        <f t="shared" si="5"/>
        <v/>
      </c>
      <c r="B20" s="136"/>
      <c r="C20" s="5" t="str">
        <f t="shared" si="0"/>
        <v/>
      </c>
      <c r="D20" s="137"/>
      <c r="E20" s="5" t="str">
        <f t="shared" si="1"/>
        <v/>
      </c>
      <c r="F20" s="5" t="str">
        <f t="shared" si="2"/>
        <v/>
      </c>
      <c r="G20" s="138"/>
      <c r="H20" s="6" t="str">
        <f t="shared" si="3"/>
        <v/>
      </c>
      <c r="I20" s="139"/>
      <c r="J20" s="106" t="str">
        <f t="shared" si="4"/>
        <v/>
      </c>
      <c r="K20" s="134" t="str">
        <f>IF(J20="INS25",J20&amp;TEXT(COUNTIF($J$2:J20,"INS25"),"000"),IF(J20="C",J20&amp;TEXT(COUNTIF($J$2:J20,"C"),"000"),IF(J20="R",J20&amp;TEXT(COUNTIF($J$2:J20,"R"),"000"),IF(J20="A",J20&amp;TEXT(COUNTIF($J$2:J20,"A"),"000"),IF(J20="F",J20&amp;TEXT(COUNTIF($J$2:J20,"F"),"000"),IF(J20="M",J20&amp;TEXT(COUNTIF($J$2:J20,"M"),"000"),IF(J20="INS26",J20&amp;TEXT(COUNTIF($J$2:J20,"INS26"),"000"),"")))))))</f>
        <v/>
      </c>
      <c r="M20" s="185" t="s">
        <v>83</v>
      </c>
      <c r="N20" s="185"/>
      <c r="O20" s="185"/>
      <c r="P20" s="185"/>
      <c r="Q20" s="185"/>
      <c r="R20" s="185"/>
      <c r="S20" s="185"/>
      <c r="T20" s="185"/>
    </row>
    <row r="21" spans="1:20" ht="14.4">
      <c r="A21" s="135" t="str">
        <f t="shared" si="5"/>
        <v/>
      </c>
      <c r="B21" s="136"/>
      <c r="C21" s="5" t="str">
        <f t="shared" si="0"/>
        <v/>
      </c>
      <c r="D21" s="137"/>
      <c r="E21" s="5" t="str">
        <f t="shared" si="1"/>
        <v/>
      </c>
      <c r="F21" s="5" t="str">
        <f t="shared" si="2"/>
        <v/>
      </c>
      <c r="G21" s="138"/>
      <c r="H21" s="6" t="str">
        <f t="shared" si="3"/>
        <v/>
      </c>
      <c r="I21" s="139"/>
      <c r="J21" s="106" t="str">
        <f t="shared" si="4"/>
        <v/>
      </c>
      <c r="K21" s="134" t="str">
        <f>IF(J21="INS25",J21&amp;TEXT(COUNTIF($J$2:J21,"INS25"),"000"),IF(J21="C",J21&amp;TEXT(COUNTIF($J$2:J21,"C"),"000"),IF(J21="R",J21&amp;TEXT(COUNTIF($J$2:J21,"R"),"000"),IF(J21="A",J21&amp;TEXT(COUNTIF($J$2:J21,"A"),"000"),IF(J21="F",J21&amp;TEXT(COUNTIF($J$2:J21,"F"),"000"),IF(J21="M",J21&amp;TEXT(COUNTIF($J$2:J21,"M"),"000"),IF(J21="INS26",J21&amp;TEXT(COUNTIF($J$2:J21,"INS26"),"000"),"")))))))</f>
        <v/>
      </c>
      <c r="M21" s="185"/>
      <c r="N21" s="185"/>
      <c r="O21" s="185"/>
      <c r="P21" s="185"/>
      <c r="Q21" s="185"/>
      <c r="R21" s="185"/>
      <c r="S21" s="185"/>
      <c r="T21" s="185"/>
    </row>
    <row r="22" spans="1:20" ht="15.75" customHeight="1">
      <c r="A22" s="135" t="str">
        <f t="shared" si="5"/>
        <v/>
      </c>
      <c r="B22" s="136"/>
      <c r="C22" s="5" t="str">
        <f t="shared" si="0"/>
        <v/>
      </c>
      <c r="D22" s="137"/>
      <c r="E22" s="5" t="str">
        <f t="shared" si="1"/>
        <v/>
      </c>
      <c r="F22" s="5" t="str">
        <f t="shared" si="2"/>
        <v/>
      </c>
      <c r="G22" s="138"/>
      <c r="H22" s="6" t="str">
        <f t="shared" si="3"/>
        <v/>
      </c>
      <c r="I22" s="139"/>
      <c r="J22" s="106" t="str">
        <f t="shared" si="4"/>
        <v/>
      </c>
      <c r="K22" s="134" t="str">
        <f>IF(J22="INS25",J22&amp;TEXT(COUNTIF($J$2:J22,"INS25"),"000"),IF(J22="C",J22&amp;TEXT(COUNTIF($J$2:J22,"C"),"000"),IF(J22="R",J22&amp;TEXT(COUNTIF($J$2:J22,"R"),"000"),IF(J22="A",J22&amp;TEXT(COUNTIF($J$2:J22,"A"),"000"),IF(J22="F",J22&amp;TEXT(COUNTIF($J$2:J22,"F"),"000"),IF(J22="M",J22&amp;TEXT(COUNTIF($J$2:J22,"M"),"000"),IF(J22="INS26",J22&amp;TEXT(COUNTIF($J$2:J22,"INS26"),"000"),"")))))))</f>
        <v/>
      </c>
      <c r="M22" s="185"/>
      <c r="N22" s="185"/>
      <c r="O22" s="185"/>
      <c r="P22" s="185"/>
      <c r="Q22" s="185"/>
      <c r="R22" s="185"/>
      <c r="S22" s="185"/>
      <c r="T22" s="185"/>
    </row>
    <row r="23" spans="1:20" ht="15.75" customHeight="1">
      <c r="A23" s="135" t="str">
        <f t="shared" si="5"/>
        <v/>
      </c>
      <c r="B23" s="136"/>
      <c r="C23" s="5" t="str">
        <f t="shared" si="0"/>
        <v/>
      </c>
      <c r="D23" s="137"/>
      <c r="E23" s="5" t="str">
        <f t="shared" si="1"/>
        <v/>
      </c>
      <c r="F23" s="5" t="str">
        <f t="shared" si="2"/>
        <v/>
      </c>
      <c r="G23" s="138"/>
      <c r="H23" s="6" t="str">
        <f t="shared" si="3"/>
        <v/>
      </c>
      <c r="I23" s="139"/>
      <c r="J23" s="106" t="str">
        <f t="shared" si="4"/>
        <v/>
      </c>
      <c r="K23" s="134" t="str">
        <f>IF(J23="INS25",J23&amp;TEXT(COUNTIF($J$2:J23,"INS25"),"000"),IF(J23="C",J23&amp;TEXT(COUNTIF($J$2:J23,"C"),"000"),IF(J23="R",J23&amp;TEXT(COUNTIF($J$2:J23,"R"),"000"),IF(J23="A",J23&amp;TEXT(COUNTIF($J$2:J23,"A"),"000"),IF(J23="F",J23&amp;TEXT(COUNTIF($J$2:J23,"F"),"000"),IF(J23="M",J23&amp;TEXT(COUNTIF($J$2:J23,"M"),"000"),IF(J23="INS26",J23&amp;TEXT(COUNTIF($J$2:J23,"INS26"),"000"),"")))))))</f>
        <v/>
      </c>
    </row>
    <row r="24" spans="1:20" ht="15.75" customHeight="1">
      <c r="A24" s="135" t="str">
        <f t="shared" si="5"/>
        <v/>
      </c>
      <c r="B24" s="136"/>
      <c r="C24" s="5" t="str">
        <f t="shared" si="0"/>
        <v/>
      </c>
      <c r="D24" s="137"/>
      <c r="E24" s="5" t="str">
        <f t="shared" si="1"/>
        <v/>
      </c>
      <c r="F24" s="5" t="str">
        <f t="shared" si="2"/>
        <v/>
      </c>
      <c r="G24" s="138"/>
      <c r="H24" s="6" t="str">
        <f t="shared" si="3"/>
        <v/>
      </c>
      <c r="I24" s="139"/>
      <c r="J24" s="106" t="str">
        <f t="shared" si="4"/>
        <v/>
      </c>
      <c r="K24" s="134" t="str">
        <f>IF(J24="INS25",J24&amp;TEXT(COUNTIF($J$2:J24,"INS25"),"000"),IF(J24="C",J24&amp;TEXT(COUNTIF($J$2:J24,"C"),"000"),IF(J24="R",J24&amp;TEXT(COUNTIF($J$2:J24,"R"),"000"),IF(J24="A",J24&amp;TEXT(COUNTIF($J$2:J24,"A"),"000"),IF(J24="F",J24&amp;TEXT(COUNTIF($J$2:J24,"F"),"000"),IF(J24="M",J24&amp;TEXT(COUNTIF($J$2:J24,"M"),"000"),IF(J24="INS26",J24&amp;TEXT(COUNTIF($J$2:J24,"INS26"),"000"),"")))))))</f>
        <v/>
      </c>
    </row>
    <row r="25" spans="1:20" ht="15.75" customHeight="1">
      <c r="A25" s="135" t="str">
        <f t="shared" si="5"/>
        <v/>
      </c>
      <c r="B25" s="136"/>
      <c r="C25" s="5" t="str">
        <f t="shared" si="0"/>
        <v/>
      </c>
      <c r="D25" s="137"/>
      <c r="E25" s="5" t="str">
        <f t="shared" si="1"/>
        <v/>
      </c>
      <c r="F25" s="5" t="str">
        <f t="shared" si="2"/>
        <v/>
      </c>
      <c r="G25" s="138"/>
      <c r="H25" s="6" t="str">
        <f t="shared" si="3"/>
        <v/>
      </c>
      <c r="I25" s="139"/>
      <c r="J25" s="106" t="str">
        <f t="shared" si="4"/>
        <v/>
      </c>
      <c r="K25" s="134" t="str">
        <f>IF(J25="INS25",J25&amp;TEXT(COUNTIF($J$2:J25,"INS25"),"000"),IF(J25="C",J25&amp;TEXT(COUNTIF($J$2:J25,"C"),"000"),IF(J25="R",J25&amp;TEXT(COUNTIF($J$2:J25,"R"),"000"),IF(J25="A",J25&amp;TEXT(COUNTIF($J$2:J25,"A"),"000"),IF(J25="F",J25&amp;TEXT(COUNTIF($J$2:J25,"F"),"000"),IF(J25="M",J25&amp;TEXT(COUNTIF($J$2:J25,"M"),"000"),IF(J25="INS26",J25&amp;TEXT(COUNTIF($J$2:J25,"INS26"),"000"),"")))))))</f>
        <v/>
      </c>
    </row>
    <row r="26" spans="1:20" ht="15.75" customHeight="1">
      <c r="A26" s="135" t="str">
        <f t="shared" si="5"/>
        <v/>
      </c>
      <c r="B26" s="136"/>
      <c r="C26" s="5" t="str">
        <f t="shared" si="0"/>
        <v/>
      </c>
      <c r="D26" s="137"/>
      <c r="E26" s="5" t="str">
        <f t="shared" si="1"/>
        <v/>
      </c>
      <c r="F26" s="5" t="str">
        <f t="shared" si="2"/>
        <v/>
      </c>
      <c r="G26" s="138"/>
      <c r="H26" s="6" t="str">
        <f t="shared" si="3"/>
        <v/>
      </c>
      <c r="I26" s="139"/>
      <c r="J26" s="106" t="str">
        <f t="shared" si="4"/>
        <v/>
      </c>
      <c r="K26" s="134" t="str">
        <f>IF(J26="INS25",J26&amp;TEXT(COUNTIF($J$2:J26,"INS25"),"000"),IF(J26="C",J26&amp;TEXT(COUNTIF($J$2:J26,"C"),"000"),IF(J26="R",J26&amp;TEXT(COUNTIF($J$2:J26,"R"),"000"),IF(J26="A",J26&amp;TEXT(COUNTIF($J$2:J26,"A"),"000"),IF(J26="F",J26&amp;TEXT(COUNTIF($J$2:J26,"F"),"000"),IF(J26="M",J26&amp;TEXT(COUNTIF($J$2:J26,"M"),"000"),IF(J26="INS26",J26&amp;TEXT(COUNTIF($J$2:J26,"INS26"),"000"),"")))))))</f>
        <v/>
      </c>
    </row>
    <row r="27" spans="1:20" ht="15.75" customHeight="1">
      <c r="A27" s="135" t="str">
        <f t="shared" si="5"/>
        <v/>
      </c>
      <c r="B27" s="136"/>
      <c r="C27" s="5" t="str">
        <f t="shared" si="0"/>
        <v/>
      </c>
      <c r="D27" s="137"/>
      <c r="E27" s="5" t="str">
        <f t="shared" si="1"/>
        <v/>
      </c>
      <c r="F27" s="5" t="str">
        <f t="shared" si="2"/>
        <v/>
      </c>
      <c r="G27" s="138"/>
      <c r="H27" s="6" t="str">
        <f t="shared" si="3"/>
        <v/>
      </c>
      <c r="I27" s="139"/>
      <c r="J27" s="106" t="str">
        <f t="shared" si="4"/>
        <v/>
      </c>
      <c r="K27" s="134" t="str">
        <f>IF(J27="INS25",J27&amp;TEXT(COUNTIF($J$2:J27,"INS25"),"000"),IF(J27="C",J27&amp;TEXT(COUNTIF($J$2:J27,"C"),"000"),IF(J27="R",J27&amp;TEXT(COUNTIF($J$2:J27,"R"),"000"),IF(J27="A",J27&amp;TEXT(COUNTIF($J$2:J27,"A"),"000"),IF(J27="F",J27&amp;TEXT(COUNTIF($J$2:J27,"F"),"000"),IF(J27="M",J27&amp;TEXT(COUNTIF($J$2:J27,"M"),"000"),IF(J27="INS26",J27&amp;TEXT(COUNTIF($J$2:J27,"INS26"),"000"),"")))))))</f>
        <v/>
      </c>
    </row>
    <row r="28" spans="1:20" ht="15.75" customHeight="1">
      <c r="A28" s="135" t="str">
        <f t="shared" si="5"/>
        <v/>
      </c>
      <c r="B28" s="136"/>
      <c r="C28" s="5" t="str">
        <f t="shared" si="0"/>
        <v/>
      </c>
      <c r="D28" s="137"/>
      <c r="E28" s="5" t="str">
        <f t="shared" si="1"/>
        <v/>
      </c>
      <c r="F28" s="5" t="str">
        <f t="shared" si="2"/>
        <v/>
      </c>
      <c r="G28" s="138"/>
      <c r="H28" s="6" t="str">
        <f t="shared" si="3"/>
        <v/>
      </c>
      <c r="I28" s="139"/>
      <c r="J28" s="106" t="str">
        <f t="shared" si="4"/>
        <v/>
      </c>
      <c r="K28" s="134" t="str">
        <f>IF(J28="INS25",J28&amp;TEXT(COUNTIF($J$2:J28,"INS25"),"000"),IF(J28="C",J28&amp;TEXT(COUNTIF($J$2:J28,"C"),"000"),IF(J28="R",J28&amp;TEXT(COUNTIF($J$2:J28,"R"),"000"),IF(J28="A",J28&amp;TEXT(COUNTIF($J$2:J28,"A"),"000"),IF(J28="F",J28&amp;TEXT(COUNTIF($J$2:J28,"F"),"000"),IF(J28="M",J28&amp;TEXT(COUNTIF($J$2:J28,"M"),"000"),IF(J28="INS26",J28&amp;TEXT(COUNTIF($J$2:J28,"INS26"),"000"),"")))))))</f>
        <v/>
      </c>
    </row>
    <row r="29" spans="1:20" ht="15.75" customHeight="1">
      <c r="A29" s="135" t="str">
        <f t="shared" si="5"/>
        <v/>
      </c>
      <c r="B29" s="136"/>
      <c r="C29" s="5" t="str">
        <f t="shared" si="0"/>
        <v/>
      </c>
      <c r="D29" s="137"/>
      <c r="E29" s="5" t="str">
        <f t="shared" si="1"/>
        <v/>
      </c>
      <c r="F29" s="5" t="str">
        <f t="shared" si="2"/>
        <v/>
      </c>
      <c r="G29" s="138"/>
      <c r="H29" s="6" t="str">
        <f t="shared" si="3"/>
        <v/>
      </c>
      <c r="I29" s="139"/>
      <c r="J29" s="106" t="str">
        <f t="shared" si="4"/>
        <v/>
      </c>
      <c r="K29" s="134" t="str">
        <f>IF(J29="INS25",J29&amp;TEXT(COUNTIF($J$2:J29,"INS25"),"000"),IF(J29="C",J29&amp;TEXT(COUNTIF($J$2:J29,"C"),"000"),IF(J29="R",J29&amp;TEXT(COUNTIF($J$2:J29,"R"),"000"),IF(J29="A",J29&amp;TEXT(COUNTIF($J$2:J29,"A"),"000"),IF(J29="F",J29&amp;TEXT(COUNTIF($J$2:J29,"F"),"000"),IF(J29="M",J29&amp;TEXT(COUNTIF($J$2:J29,"M"),"000"),IF(J29="INS26",J29&amp;TEXT(COUNTIF($J$2:J29,"INS26"),"000"),"")))))))</f>
        <v/>
      </c>
    </row>
    <row r="30" spans="1:20" ht="15.75" customHeight="1">
      <c r="A30" s="135" t="str">
        <f t="shared" si="5"/>
        <v/>
      </c>
      <c r="B30" s="136"/>
      <c r="C30" s="5" t="str">
        <f t="shared" si="0"/>
        <v/>
      </c>
      <c r="D30" s="137"/>
      <c r="E30" s="5" t="str">
        <f t="shared" si="1"/>
        <v/>
      </c>
      <c r="F30" s="5" t="str">
        <f t="shared" si="2"/>
        <v/>
      </c>
      <c r="G30" s="138"/>
      <c r="H30" s="6" t="str">
        <f t="shared" si="3"/>
        <v/>
      </c>
      <c r="I30" s="139"/>
      <c r="J30" s="106" t="str">
        <f t="shared" si="4"/>
        <v/>
      </c>
      <c r="K30" s="134" t="str">
        <f>IF(J30="INS25",J30&amp;TEXT(COUNTIF($J$2:J30,"INS25"),"000"),IF(J30="C",J30&amp;TEXT(COUNTIF($J$2:J30,"C"),"000"),IF(J30="R",J30&amp;TEXT(COUNTIF($J$2:J30,"R"),"000"),IF(J30="A",J30&amp;TEXT(COUNTIF($J$2:J30,"A"),"000"),IF(J30="F",J30&amp;TEXT(COUNTIF($J$2:J30,"F"),"000"),IF(J30="M",J30&amp;TEXT(COUNTIF($J$2:J30,"M"),"000"),IF(J30="INS26",J30&amp;TEXT(COUNTIF($J$2:J30,"INS26"),"000"),"")))))))</f>
        <v/>
      </c>
    </row>
    <row r="31" spans="1:20" ht="15.75" customHeight="1">
      <c r="A31" s="135" t="str">
        <f t="shared" si="5"/>
        <v/>
      </c>
      <c r="B31" s="136"/>
      <c r="C31" s="5" t="str">
        <f t="shared" si="0"/>
        <v/>
      </c>
      <c r="D31" s="137"/>
      <c r="E31" s="5" t="str">
        <f t="shared" si="1"/>
        <v/>
      </c>
      <c r="F31" s="5" t="str">
        <f t="shared" si="2"/>
        <v/>
      </c>
      <c r="G31" s="138"/>
      <c r="H31" s="6" t="str">
        <f t="shared" si="3"/>
        <v/>
      </c>
      <c r="I31" s="139"/>
      <c r="J31" s="106" t="str">
        <f t="shared" si="4"/>
        <v/>
      </c>
      <c r="K31" s="134" t="str">
        <f>IF(J31="INS25",J31&amp;TEXT(COUNTIF($J$2:J31,"INS25"),"000"),IF(J31="C",J31&amp;TEXT(COUNTIF($J$2:J31,"C"),"000"),IF(J31="R",J31&amp;TEXT(COUNTIF($J$2:J31,"R"),"000"),IF(J31="A",J31&amp;TEXT(COUNTIF($J$2:J31,"A"),"000"),IF(J31="F",J31&amp;TEXT(COUNTIF($J$2:J31,"F"),"000"),IF(J31="M",J31&amp;TEXT(COUNTIF($J$2:J31,"M"),"000"),IF(J31="INS26",J31&amp;TEXT(COUNTIF($J$2:J31,"INS26"),"000"),"")))))))</f>
        <v/>
      </c>
    </row>
    <row r="32" spans="1:20" ht="15.75" customHeight="1">
      <c r="A32" s="135" t="str">
        <f t="shared" si="5"/>
        <v/>
      </c>
      <c r="B32" s="136"/>
      <c r="C32" s="5" t="str">
        <f t="shared" si="0"/>
        <v/>
      </c>
      <c r="D32" s="137"/>
      <c r="E32" s="5" t="str">
        <f t="shared" si="1"/>
        <v/>
      </c>
      <c r="F32" s="5" t="str">
        <f t="shared" si="2"/>
        <v/>
      </c>
      <c r="G32" s="138"/>
      <c r="H32" s="6" t="str">
        <f t="shared" si="3"/>
        <v/>
      </c>
      <c r="I32" s="139"/>
      <c r="J32" s="106" t="str">
        <f t="shared" si="4"/>
        <v/>
      </c>
      <c r="K32" s="134" t="str">
        <f>IF(J32="INS25",J32&amp;TEXT(COUNTIF($J$2:J32,"INS25"),"000"),IF(J32="C",J32&amp;TEXT(COUNTIF($J$2:J32,"C"),"000"),IF(J32="R",J32&amp;TEXT(COUNTIF($J$2:J32,"R"),"000"),IF(J32="A",J32&amp;TEXT(COUNTIF($J$2:J32,"A"),"000"),IF(J32="F",J32&amp;TEXT(COUNTIF($J$2:J32,"F"),"000"),IF(J32="M",J32&amp;TEXT(COUNTIF($J$2:J32,"M"),"000"),IF(J32="INS26",J32&amp;TEXT(COUNTIF($J$2:J32,"INS26"),"000"),"")))))))</f>
        <v/>
      </c>
    </row>
    <row r="33" spans="1:11" ht="15.75" customHeight="1">
      <c r="A33" s="135" t="str">
        <f t="shared" si="5"/>
        <v/>
      </c>
      <c r="B33" s="136"/>
      <c r="C33" s="5" t="str">
        <f t="shared" si="0"/>
        <v/>
      </c>
      <c r="D33" s="137"/>
      <c r="E33" s="5" t="str">
        <f t="shared" si="1"/>
        <v/>
      </c>
      <c r="F33" s="5" t="str">
        <f t="shared" si="2"/>
        <v/>
      </c>
      <c r="G33" s="138"/>
      <c r="H33" s="6" t="str">
        <f t="shared" si="3"/>
        <v/>
      </c>
      <c r="I33" s="139"/>
      <c r="J33" s="106" t="str">
        <f t="shared" si="4"/>
        <v/>
      </c>
      <c r="K33" s="134" t="str">
        <f>IF(J33="INS25",J33&amp;TEXT(COUNTIF($J$2:J33,"INS25"),"000"),IF(J33="C",J33&amp;TEXT(COUNTIF($J$2:J33,"C"),"000"),IF(J33="R",J33&amp;TEXT(COUNTIF($J$2:J33,"R"),"000"),IF(J33="A",J33&amp;TEXT(COUNTIF($J$2:J33,"A"),"000"),IF(J33="F",J33&amp;TEXT(COUNTIF($J$2:J33,"F"),"000"),IF(J33="M",J33&amp;TEXT(COUNTIF($J$2:J33,"M"),"000"),IF(J33="INS26",J33&amp;TEXT(COUNTIF($J$2:J33,"INS26"),"000"),"")))))))</f>
        <v/>
      </c>
    </row>
    <row r="34" spans="1:11" ht="15.75" customHeight="1">
      <c r="A34" s="135" t="str">
        <f t="shared" si="5"/>
        <v/>
      </c>
      <c r="B34" s="136"/>
      <c r="C34" s="5" t="str">
        <f t="shared" si="0"/>
        <v/>
      </c>
      <c r="D34" s="137"/>
      <c r="E34" s="5" t="str">
        <f t="shared" si="1"/>
        <v/>
      </c>
      <c r="F34" s="5" t="str">
        <f t="shared" si="2"/>
        <v/>
      </c>
      <c r="G34" s="138"/>
      <c r="H34" s="6" t="str">
        <f t="shared" si="3"/>
        <v/>
      </c>
      <c r="I34" s="139"/>
      <c r="J34" s="106" t="str">
        <f t="shared" si="4"/>
        <v/>
      </c>
      <c r="K34" s="134" t="str">
        <f>IF(J34="INS25",J34&amp;TEXT(COUNTIF($J$2:J34,"INS25"),"000"),IF(J34="C",J34&amp;TEXT(COUNTIF($J$2:J34,"C"),"000"),IF(J34="R",J34&amp;TEXT(COUNTIF($J$2:J34,"R"),"000"),IF(J34="A",J34&amp;TEXT(COUNTIF($J$2:J34,"A"),"000"),IF(J34="F",J34&amp;TEXT(COUNTIF($J$2:J34,"F"),"000"),IF(J34="M",J34&amp;TEXT(COUNTIF($J$2:J34,"M"),"000"),IF(J34="INS26",J34&amp;TEXT(COUNTIF($J$2:J34,"INS26"),"000"),"")))))))</f>
        <v/>
      </c>
    </row>
    <row r="35" spans="1:11" ht="15.75" customHeight="1">
      <c r="A35" s="135" t="str">
        <f t="shared" si="5"/>
        <v/>
      </c>
      <c r="B35" s="136"/>
      <c r="C35" s="5" t="str">
        <f t="shared" si="0"/>
        <v/>
      </c>
      <c r="D35" s="137"/>
      <c r="E35" s="5" t="str">
        <f t="shared" si="1"/>
        <v/>
      </c>
      <c r="F35" s="5" t="str">
        <f t="shared" si="2"/>
        <v/>
      </c>
      <c r="G35" s="138"/>
      <c r="H35" s="6" t="str">
        <f t="shared" si="3"/>
        <v/>
      </c>
      <c r="I35" s="139"/>
      <c r="J35" s="106" t="str">
        <f t="shared" si="4"/>
        <v/>
      </c>
      <c r="K35" s="134" t="str">
        <f>IF(J35="INS25",J35&amp;TEXT(COUNTIF($J$2:J35,"INS25"),"000"),IF(J35="C",J35&amp;TEXT(COUNTIF($J$2:J35,"C"),"000"),IF(J35="R",J35&amp;TEXT(COUNTIF($J$2:J35,"R"),"000"),IF(J35="A",J35&amp;TEXT(COUNTIF($J$2:J35,"A"),"000"),IF(J35="F",J35&amp;TEXT(COUNTIF($J$2:J35,"F"),"000"),IF(J35="M",J35&amp;TEXT(COUNTIF($J$2:J35,"M"),"000"),IF(J35="INS26",J35&amp;TEXT(COUNTIF($J$2:J35,"INS26"),"000"),"")))))))</f>
        <v/>
      </c>
    </row>
    <row r="36" spans="1:11" ht="15.75" customHeight="1">
      <c r="A36" s="135" t="str">
        <f t="shared" si="5"/>
        <v/>
      </c>
      <c r="B36" s="136"/>
      <c r="C36" s="5" t="str">
        <f t="shared" si="0"/>
        <v/>
      </c>
      <c r="D36" s="137"/>
      <c r="E36" s="5" t="str">
        <f t="shared" si="1"/>
        <v/>
      </c>
      <c r="F36" s="5" t="str">
        <f t="shared" si="2"/>
        <v/>
      </c>
      <c r="G36" s="138"/>
      <c r="H36" s="6" t="str">
        <f t="shared" si="3"/>
        <v/>
      </c>
      <c r="I36" s="139"/>
      <c r="J36" s="106" t="str">
        <f t="shared" si="4"/>
        <v/>
      </c>
      <c r="K36" s="134" t="str">
        <f>IF(J36="INS25",J36&amp;TEXT(COUNTIF($J$2:J36,"INS25"),"000"),IF(J36="C",J36&amp;TEXT(COUNTIF($J$2:J36,"C"),"000"),IF(J36="R",J36&amp;TEXT(COUNTIF($J$2:J36,"R"),"000"),IF(J36="A",J36&amp;TEXT(COUNTIF($J$2:J36,"A"),"000"),IF(J36="F",J36&amp;TEXT(COUNTIF($J$2:J36,"F"),"000"),IF(J36="M",J36&amp;TEXT(COUNTIF($J$2:J36,"M"),"000"),IF(J36="INS26",J36&amp;TEXT(COUNTIF($J$2:J36,"INS26"),"000"),"")))))))</f>
        <v/>
      </c>
    </row>
    <row r="37" spans="1:11" ht="15.75" customHeight="1">
      <c r="A37" s="135" t="str">
        <f t="shared" si="5"/>
        <v/>
      </c>
      <c r="B37" s="136"/>
      <c r="C37" s="5" t="str">
        <f t="shared" si="0"/>
        <v/>
      </c>
      <c r="D37" s="137"/>
      <c r="E37" s="5" t="str">
        <f t="shared" si="1"/>
        <v/>
      </c>
      <c r="F37" s="5" t="str">
        <f t="shared" si="2"/>
        <v/>
      </c>
      <c r="G37" s="138"/>
      <c r="H37" s="6" t="str">
        <f t="shared" si="3"/>
        <v/>
      </c>
      <c r="I37" s="139"/>
      <c r="J37" s="106" t="str">
        <f t="shared" si="4"/>
        <v/>
      </c>
      <c r="K37" s="134" t="str">
        <f>IF(J37="INS25",J37&amp;TEXT(COUNTIF($J$2:J37,"INS25"),"000"),IF(J37="C",J37&amp;TEXT(COUNTIF($J$2:J37,"C"),"000"),IF(J37="R",J37&amp;TEXT(COUNTIF($J$2:J37,"R"),"000"),IF(J37="A",J37&amp;TEXT(COUNTIF($J$2:J37,"A"),"000"),IF(J37="F",J37&amp;TEXT(COUNTIF($J$2:J37,"F"),"000"),IF(J37="M",J37&amp;TEXT(COUNTIF($J$2:J37,"M"),"000"),IF(J37="INS26",J37&amp;TEXT(COUNTIF($J$2:J37,"INS26"),"000"),"")))))))</f>
        <v/>
      </c>
    </row>
    <row r="38" spans="1:11" ht="15.75" customHeight="1">
      <c r="A38" s="135" t="str">
        <f t="shared" si="5"/>
        <v/>
      </c>
      <c r="B38" s="136"/>
      <c r="C38" s="5" t="str">
        <f t="shared" si="0"/>
        <v/>
      </c>
      <c r="D38" s="137"/>
      <c r="E38" s="5" t="str">
        <f t="shared" si="1"/>
        <v/>
      </c>
      <c r="F38" s="5" t="str">
        <f t="shared" si="2"/>
        <v/>
      </c>
      <c r="G38" s="138"/>
      <c r="H38" s="6" t="str">
        <f t="shared" si="3"/>
        <v/>
      </c>
      <c r="I38" s="139"/>
      <c r="J38" s="106" t="str">
        <f t="shared" si="4"/>
        <v/>
      </c>
      <c r="K38" s="134" t="str">
        <f>IF(J38="INS25",J38&amp;TEXT(COUNTIF($J$2:J38,"INS25"),"000"),IF(J38="C",J38&amp;TEXT(COUNTIF($J$2:J38,"C"),"000"),IF(J38="R",J38&amp;TEXT(COUNTIF($J$2:J38,"R"),"000"),IF(J38="A",J38&amp;TEXT(COUNTIF($J$2:J38,"A"),"000"),IF(J38="F",J38&amp;TEXT(COUNTIF($J$2:J38,"F"),"000"),IF(J38="M",J38&amp;TEXT(COUNTIF($J$2:J38,"M"),"000"),IF(J38="INS26",J38&amp;TEXT(COUNTIF($J$2:J38,"INS26"),"000"),"")))))))</f>
        <v/>
      </c>
    </row>
    <row r="39" spans="1:11" ht="15.75" customHeight="1">
      <c r="A39" s="135" t="str">
        <f t="shared" si="5"/>
        <v/>
      </c>
      <c r="B39" s="136"/>
      <c r="C39" s="5" t="str">
        <f t="shared" si="0"/>
        <v/>
      </c>
      <c r="D39" s="137"/>
      <c r="E39" s="5" t="str">
        <f t="shared" si="1"/>
        <v/>
      </c>
      <c r="F39" s="5" t="str">
        <f t="shared" si="2"/>
        <v/>
      </c>
      <c r="G39" s="138"/>
      <c r="H39" s="6" t="str">
        <f t="shared" si="3"/>
        <v/>
      </c>
      <c r="I39" s="139"/>
      <c r="J39" s="106" t="str">
        <f t="shared" si="4"/>
        <v/>
      </c>
      <c r="K39" s="134" t="str">
        <f>IF(J39="INS25",J39&amp;TEXT(COUNTIF($J$2:J39,"INS25"),"000"),IF(J39="C",J39&amp;TEXT(COUNTIF($J$2:J39,"C"),"000"),IF(J39="R",J39&amp;TEXT(COUNTIF($J$2:J39,"R"),"000"),IF(J39="A",J39&amp;TEXT(COUNTIF($J$2:J39,"A"),"000"),IF(J39="F",J39&amp;TEXT(COUNTIF($J$2:J39,"F"),"000"),IF(J39="M",J39&amp;TEXT(COUNTIF($J$2:J39,"M"),"000"),IF(J39="INS26",J39&amp;TEXT(COUNTIF($J$2:J39,"INS26"),"000"),"")))))))</f>
        <v/>
      </c>
    </row>
    <row r="40" spans="1:11" ht="15.75" customHeight="1">
      <c r="A40" s="135" t="str">
        <f t="shared" si="5"/>
        <v/>
      </c>
      <c r="B40" s="136"/>
      <c r="C40" s="5" t="str">
        <f t="shared" si="0"/>
        <v/>
      </c>
      <c r="D40" s="137"/>
      <c r="E40" s="5" t="str">
        <f t="shared" si="1"/>
        <v/>
      </c>
      <c r="F40" s="5" t="str">
        <f t="shared" si="2"/>
        <v/>
      </c>
      <c r="G40" s="138"/>
      <c r="H40" s="6" t="str">
        <f t="shared" si="3"/>
        <v/>
      </c>
      <c r="I40" s="139"/>
      <c r="J40" s="106" t="str">
        <f t="shared" si="4"/>
        <v/>
      </c>
      <c r="K40" s="134" t="str">
        <f>IF(J40="INS25",J40&amp;TEXT(COUNTIF($J$2:J40,"INS25"),"000"),IF(J40="C",J40&amp;TEXT(COUNTIF($J$2:J40,"C"),"000"),IF(J40="R",J40&amp;TEXT(COUNTIF($J$2:J40,"R"),"000"),IF(J40="A",J40&amp;TEXT(COUNTIF($J$2:J40,"A"),"000"),IF(J40="F",J40&amp;TEXT(COUNTIF($J$2:J40,"F"),"000"),IF(J40="M",J40&amp;TEXT(COUNTIF($J$2:J40,"M"),"000"),IF(J40="INS26",J40&amp;TEXT(COUNTIF($J$2:J40,"INS26"),"000"),"")))))))</f>
        <v/>
      </c>
    </row>
    <row r="41" spans="1:11" ht="15.75" customHeight="1">
      <c r="A41" s="135" t="str">
        <f t="shared" si="5"/>
        <v/>
      </c>
      <c r="B41" s="136"/>
      <c r="C41" s="5" t="str">
        <f t="shared" si="0"/>
        <v/>
      </c>
      <c r="D41" s="137"/>
      <c r="E41" s="5" t="str">
        <f t="shared" si="1"/>
        <v/>
      </c>
      <c r="F41" s="5" t="str">
        <f t="shared" si="2"/>
        <v/>
      </c>
      <c r="G41" s="138"/>
      <c r="H41" s="6" t="str">
        <f t="shared" si="3"/>
        <v/>
      </c>
      <c r="I41" s="139"/>
      <c r="J41" s="106" t="str">
        <f t="shared" si="4"/>
        <v/>
      </c>
      <c r="K41" s="134" t="str">
        <f>IF(J41="INS25",J41&amp;TEXT(COUNTIF($J$2:J41,"INS25"),"000"),IF(J41="C",J41&amp;TEXT(COUNTIF($J$2:J41,"C"),"000"),IF(J41="R",J41&amp;TEXT(COUNTIF($J$2:J41,"R"),"000"),IF(J41="A",J41&amp;TEXT(COUNTIF($J$2:J41,"A"),"000"),IF(J41="F",J41&amp;TEXT(COUNTIF($J$2:J41,"F"),"000"),IF(J41="M",J41&amp;TEXT(COUNTIF($J$2:J41,"M"),"000"),IF(J41="INS26",J41&amp;TEXT(COUNTIF($J$2:J41,"INS26"),"000"),"")))))))</f>
        <v/>
      </c>
    </row>
    <row r="42" spans="1:11" ht="15.75" customHeight="1">
      <c r="A42" s="135" t="str">
        <f t="shared" si="5"/>
        <v/>
      </c>
      <c r="B42" s="136"/>
      <c r="C42" s="5" t="str">
        <f t="shared" si="0"/>
        <v/>
      </c>
      <c r="D42" s="137"/>
      <c r="E42" s="5" t="str">
        <f t="shared" si="1"/>
        <v/>
      </c>
      <c r="F42" s="5" t="str">
        <f t="shared" si="2"/>
        <v/>
      </c>
      <c r="G42" s="138"/>
      <c r="H42" s="6" t="str">
        <f t="shared" si="3"/>
        <v/>
      </c>
      <c r="I42" s="139"/>
      <c r="J42" s="106" t="str">
        <f t="shared" si="4"/>
        <v/>
      </c>
      <c r="K42" s="134" t="str">
        <f>IF(J42="INS25",J42&amp;TEXT(COUNTIF($J$2:J42,"INS25"),"000"),IF(J42="C",J42&amp;TEXT(COUNTIF($J$2:J42,"C"),"000"),IF(J42="R",J42&amp;TEXT(COUNTIF($J$2:J42,"R"),"000"),IF(J42="A",J42&amp;TEXT(COUNTIF($J$2:J42,"A"),"000"),IF(J42="F",J42&amp;TEXT(COUNTIF($J$2:J42,"F"),"000"),IF(J42="M",J42&amp;TEXT(COUNTIF($J$2:J42,"M"),"000"),IF(J42="INS26",J42&amp;TEXT(COUNTIF($J$2:J42,"INS26"),"000"),"")))))))</f>
        <v/>
      </c>
    </row>
    <row r="43" spans="1:11" ht="15.75" customHeight="1">
      <c r="A43" s="135" t="str">
        <f t="shared" si="5"/>
        <v/>
      </c>
      <c r="B43" s="136"/>
      <c r="C43" s="5" t="str">
        <f t="shared" si="0"/>
        <v/>
      </c>
      <c r="D43" s="137"/>
      <c r="E43" s="5" t="str">
        <f t="shared" si="1"/>
        <v/>
      </c>
      <c r="F43" s="5" t="str">
        <f t="shared" si="2"/>
        <v/>
      </c>
      <c r="G43" s="138"/>
      <c r="H43" s="6" t="str">
        <f t="shared" si="3"/>
        <v/>
      </c>
      <c r="I43" s="139"/>
      <c r="J43" s="106" t="str">
        <f t="shared" si="4"/>
        <v/>
      </c>
      <c r="K43" s="134" t="str">
        <f>IF(J43="INS25",J43&amp;TEXT(COUNTIF($J$2:J43,"INS25"),"000"),IF(J43="C",J43&amp;TEXT(COUNTIF($J$2:J43,"C"),"000"),IF(J43="R",J43&amp;TEXT(COUNTIF($J$2:J43,"R"),"000"),IF(J43="A",J43&amp;TEXT(COUNTIF($J$2:J43,"A"),"000"),IF(J43="F",J43&amp;TEXT(COUNTIF($J$2:J43,"F"),"000"),IF(J43="M",J43&amp;TEXT(COUNTIF($J$2:J43,"M"),"000"),IF(J43="INS26",J43&amp;TEXT(COUNTIF($J$2:J43,"INS26"),"000"),"")))))))</f>
        <v/>
      </c>
    </row>
    <row r="44" spans="1:11" ht="15.75" customHeight="1">
      <c r="A44" s="135" t="str">
        <f t="shared" si="5"/>
        <v/>
      </c>
      <c r="B44" s="136"/>
      <c r="C44" s="5" t="str">
        <f t="shared" si="0"/>
        <v/>
      </c>
      <c r="D44" s="137"/>
      <c r="E44" s="5" t="str">
        <f t="shared" si="1"/>
        <v/>
      </c>
      <c r="F44" s="5" t="str">
        <f t="shared" si="2"/>
        <v/>
      </c>
      <c r="G44" s="138"/>
      <c r="H44" s="6" t="str">
        <f t="shared" si="3"/>
        <v/>
      </c>
      <c r="I44" s="139"/>
      <c r="J44" s="106" t="str">
        <f t="shared" si="4"/>
        <v/>
      </c>
      <c r="K44" s="134" t="str">
        <f>IF(J44="INS25",J44&amp;TEXT(COUNTIF($J$2:J44,"INS25"),"000"),IF(J44="C",J44&amp;TEXT(COUNTIF($J$2:J44,"C"),"000"),IF(J44="R",J44&amp;TEXT(COUNTIF($J$2:J44,"R"),"000"),IF(J44="A",J44&amp;TEXT(COUNTIF($J$2:J44,"A"),"000"),IF(J44="F",J44&amp;TEXT(COUNTIF($J$2:J44,"F"),"000"),IF(J44="M",J44&amp;TEXT(COUNTIF($J$2:J44,"M"),"000"),IF(J44="INS26",J44&amp;TEXT(COUNTIF($J$2:J44,"INS26"),"000"),"")))))))</f>
        <v/>
      </c>
    </row>
    <row r="45" spans="1:11" ht="15.75" customHeight="1">
      <c r="A45" s="135" t="str">
        <f t="shared" si="5"/>
        <v/>
      </c>
      <c r="B45" s="136"/>
      <c r="C45" s="5" t="str">
        <f t="shared" si="0"/>
        <v/>
      </c>
      <c r="D45" s="137"/>
      <c r="E45" s="5" t="str">
        <f t="shared" si="1"/>
        <v/>
      </c>
      <c r="F45" s="5" t="str">
        <f t="shared" si="2"/>
        <v/>
      </c>
      <c r="G45" s="138"/>
      <c r="H45" s="6" t="str">
        <f t="shared" si="3"/>
        <v/>
      </c>
      <c r="I45" s="139"/>
      <c r="J45" s="106" t="str">
        <f t="shared" si="4"/>
        <v/>
      </c>
      <c r="K45" s="134" t="str">
        <f>IF(J45="INS25",J45&amp;TEXT(COUNTIF($J$2:J45,"INS25"),"000"),IF(J45="C",J45&amp;TEXT(COUNTIF($J$2:J45,"C"),"000"),IF(J45="R",J45&amp;TEXT(COUNTIF($J$2:J45,"R"),"000"),IF(J45="A",J45&amp;TEXT(COUNTIF($J$2:J45,"A"),"000"),IF(J45="F",J45&amp;TEXT(COUNTIF($J$2:J45,"F"),"000"),IF(J45="M",J45&amp;TEXT(COUNTIF($J$2:J45,"M"),"000"),IF(J45="INS26",J45&amp;TEXT(COUNTIF($J$2:J45,"INS26"),"000"),"")))))))</f>
        <v/>
      </c>
    </row>
    <row r="46" spans="1:11" ht="15.75" customHeight="1">
      <c r="A46" s="135" t="str">
        <f t="shared" si="5"/>
        <v/>
      </c>
      <c r="B46" s="136"/>
      <c r="C46" s="5" t="str">
        <f t="shared" si="0"/>
        <v/>
      </c>
      <c r="D46" s="137"/>
      <c r="E46" s="5" t="str">
        <f t="shared" si="1"/>
        <v/>
      </c>
      <c r="F46" s="5" t="str">
        <f t="shared" si="2"/>
        <v/>
      </c>
      <c r="G46" s="138"/>
      <c r="H46" s="6" t="str">
        <f t="shared" si="3"/>
        <v/>
      </c>
      <c r="I46" s="139"/>
      <c r="J46" s="106" t="str">
        <f t="shared" si="4"/>
        <v/>
      </c>
      <c r="K46" s="134" t="str">
        <f>IF(J46="INS25",J46&amp;TEXT(COUNTIF($J$2:J46,"INS25"),"000"),IF(J46="C",J46&amp;TEXT(COUNTIF($J$2:J46,"C"),"000"),IF(J46="R",J46&amp;TEXT(COUNTIF($J$2:J46,"R"),"000"),IF(J46="A",J46&amp;TEXT(COUNTIF($J$2:J46,"A"),"000"),IF(J46="F",J46&amp;TEXT(COUNTIF($J$2:J46,"F"),"000"),IF(J46="M",J46&amp;TEXT(COUNTIF($J$2:J46,"M"),"000"),IF(J46="INS26",J46&amp;TEXT(COUNTIF($J$2:J46,"INS26"),"000"),"")))))))</f>
        <v/>
      </c>
    </row>
    <row r="47" spans="1:11" ht="15.75" customHeight="1">
      <c r="A47" s="135" t="str">
        <f t="shared" si="5"/>
        <v/>
      </c>
      <c r="B47" s="136"/>
      <c r="C47" s="5" t="str">
        <f t="shared" si="0"/>
        <v/>
      </c>
      <c r="D47" s="137"/>
      <c r="E47" s="5" t="str">
        <f t="shared" si="1"/>
        <v/>
      </c>
      <c r="F47" s="5" t="str">
        <f t="shared" si="2"/>
        <v/>
      </c>
      <c r="G47" s="138"/>
      <c r="H47" s="6" t="str">
        <f t="shared" si="3"/>
        <v/>
      </c>
      <c r="I47" s="139"/>
      <c r="J47" s="106" t="str">
        <f t="shared" si="4"/>
        <v/>
      </c>
      <c r="K47" s="134" t="str">
        <f>IF(J47="INS25",J47&amp;TEXT(COUNTIF($J$2:J47,"INS25"),"000"),IF(J47="C",J47&amp;TEXT(COUNTIF($J$2:J47,"C"),"000"),IF(J47="R",J47&amp;TEXT(COUNTIF($J$2:J47,"R"),"000"),IF(J47="A",J47&amp;TEXT(COUNTIF($J$2:J47,"A"),"000"),IF(J47="F",J47&amp;TEXT(COUNTIF($J$2:J47,"F"),"000"),IF(J47="M",J47&amp;TEXT(COUNTIF($J$2:J47,"M"),"000"),IF(J47="INS26",J47&amp;TEXT(COUNTIF($J$2:J47,"INS26"),"000"),"")))))))</f>
        <v/>
      </c>
    </row>
    <row r="48" spans="1:11" ht="15.75" customHeight="1">
      <c r="A48" s="135" t="str">
        <f t="shared" si="5"/>
        <v/>
      </c>
      <c r="B48" s="136"/>
      <c r="C48" s="5" t="str">
        <f t="shared" si="0"/>
        <v/>
      </c>
      <c r="D48" s="137"/>
      <c r="E48" s="5" t="str">
        <f t="shared" si="1"/>
        <v/>
      </c>
      <c r="F48" s="5" t="str">
        <f t="shared" si="2"/>
        <v/>
      </c>
      <c r="G48" s="138"/>
      <c r="H48" s="6" t="str">
        <f t="shared" si="3"/>
        <v/>
      </c>
      <c r="I48" s="139"/>
      <c r="J48" s="106" t="str">
        <f t="shared" si="4"/>
        <v/>
      </c>
      <c r="K48" s="134" t="str">
        <f>IF(J48="INS25",J48&amp;TEXT(COUNTIF($J$2:J48,"INS25"),"000"),IF(J48="C",J48&amp;TEXT(COUNTIF($J$2:J48,"C"),"000"),IF(J48="R",J48&amp;TEXT(COUNTIF($J$2:J48,"R"),"000"),IF(J48="A",J48&amp;TEXT(COUNTIF($J$2:J48,"A"),"000"),IF(J48="F",J48&amp;TEXT(COUNTIF($J$2:J48,"F"),"000"),IF(J48="M",J48&amp;TEXT(COUNTIF($J$2:J48,"M"),"000"),IF(J48="INS26",J48&amp;TEXT(COUNTIF($J$2:J48,"INS26"),"000"),"")))))))</f>
        <v/>
      </c>
    </row>
    <row r="49" spans="1:11" ht="15.75" customHeight="1">
      <c r="A49" s="135" t="str">
        <f t="shared" si="5"/>
        <v/>
      </c>
      <c r="B49" s="136"/>
      <c r="C49" s="5" t="str">
        <f t="shared" si="0"/>
        <v/>
      </c>
      <c r="D49" s="137"/>
      <c r="E49" s="5" t="str">
        <f t="shared" si="1"/>
        <v/>
      </c>
      <c r="F49" s="5" t="str">
        <f t="shared" si="2"/>
        <v/>
      </c>
      <c r="G49" s="138"/>
      <c r="H49" s="6" t="str">
        <f t="shared" si="3"/>
        <v/>
      </c>
      <c r="I49" s="139"/>
      <c r="J49" s="106" t="str">
        <f t="shared" si="4"/>
        <v/>
      </c>
      <c r="K49" s="134" t="str">
        <f>IF(J49="INS25",J49&amp;TEXT(COUNTIF($J$2:J49,"INS25"),"000"),IF(J49="C",J49&amp;TEXT(COUNTIF($J$2:J49,"C"),"000"),IF(J49="R",J49&amp;TEXT(COUNTIF($J$2:J49,"R"),"000"),IF(J49="A",J49&amp;TEXT(COUNTIF($J$2:J49,"A"),"000"),IF(J49="F",J49&amp;TEXT(COUNTIF($J$2:J49,"F"),"000"),IF(J49="M",J49&amp;TEXT(COUNTIF($J$2:J49,"M"),"000"),IF(J49="INS26",J49&amp;TEXT(COUNTIF($J$2:J49,"INS26"),"000"),"")))))))</f>
        <v/>
      </c>
    </row>
    <row r="50" spans="1:11" ht="15.75" customHeight="1">
      <c r="A50" s="135" t="str">
        <f t="shared" si="5"/>
        <v/>
      </c>
      <c r="B50" s="136"/>
      <c r="C50" s="5" t="str">
        <f t="shared" si="0"/>
        <v/>
      </c>
      <c r="D50" s="137"/>
      <c r="E50" s="5" t="str">
        <f t="shared" si="1"/>
        <v/>
      </c>
      <c r="F50" s="5" t="str">
        <f t="shared" si="2"/>
        <v/>
      </c>
      <c r="G50" s="138"/>
      <c r="H50" s="6" t="str">
        <f t="shared" si="3"/>
        <v/>
      </c>
      <c r="I50" s="139"/>
      <c r="J50" s="106" t="str">
        <f t="shared" si="4"/>
        <v/>
      </c>
      <c r="K50" s="134" t="str">
        <f>IF(J50="INS25",J50&amp;TEXT(COUNTIF($J$2:J50,"INS25"),"000"),IF(J50="C",J50&amp;TEXT(COUNTIF($J$2:J50,"C"),"000"),IF(J50="R",J50&amp;TEXT(COUNTIF($J$2:J50,"R"),"000"),IF(J50="A",J50&amp;TEXT(COUNTIF($J$2:J50,"A"),"000"),IF(J50="F",J50&amp;TEXT(COUNTIF($J$2:J50,"F"),"000"),IF(J50="M",J50&amp;TEXT(COUNTIF($J$2:J50,"M"),"000"),IF(J50="INS26",J50&amp;TEXT(COUNTIF($J$2:J50,"INS26"),"000"),"")))))))</f>
        <v/>
      </c>
    </row>
    <row r="51" spans="1:11" ht="15.75" customHeight="1">
      <c r="A51" s="135" t="str">
        <f t="shared" si="5"/>
        <v/>
      </c>
      <c r="B51" s="136"/>
      <c r="C51" s="5" t="str">
        <f t="shared" si="0"/>
        <v/>
      </c>
      <c r="D51" s="137"/>
      <c r="E51" s="5" t="str">
        <f t="shared" si="1"/>
        <v/>
      </c>
      <c r="F51" s="5" t="str">
        <f t="shared" si="2"/>
        <v/>
      </c>
      <c r="G51" s="138"/>
      <c r="H51" s="6" t="str">
        <f t="shared" si="3"/>
        <v/>
      </c>
      <c r="I51" s="139"/>
      <c r="J51" s="106" t="str">
        <f t="shared" si="4"/>
        <v/>
      </c>
      <c r="K51" s="134" t="str">
        <f>IF(J51="INS25",J51&amp;TEXT(COUNTIF($J$2:J51,"INS25"),"000"),IF(J51="C",J51&amp;TEXT(COUNTIF($J$2:J51,"C"),"000"),IF(J51="R",J51&amp;TEXT(COUNTIF($J$2:J51,"R"),"000"),IF(J51="A",J51&amp;TEXT(COUNTIF($J$2:J51,"A"),"000"),IF(J51="F",J51&amp;TEXT(COUNTIF($J$2:J51,"F"),"000"),IF(J51="M",J51&amp;TEXT(COUNTIF($J$2:J51,"M"),"000"),IF(J51="INS26",J51&amp;TEXT(COUNTIF($J$2:J51,"INS26"),"000"),"")))))))</f>
        <v/>
      </c>
    </row>
    <row r="52" spans="1:11" ht="15.75" customHeight="1">
      <c r="A52" s="135" t="str">
        <f t="shared" si="5"/>
        <v/>
      </c>
      <c r="B52" s="136"/>
      <c r="C52" s="5" t="str">
        <f t="shared" si="0"/>
        <v/>
      </c>
      <c r="D52" s="137"/>
      <c r="E52" s="5" t="str">
        <f t="shared" si="1"/>
        <v/>
      </c>
      <c r="F52" s="5" t="str">
        <f t="shared" si="2"/>
        <v/>
      </c>
      <c r="G52" s="138"/>
      <c r="H52" s="6" t="str">
        <f t="shared" si="3"/>
        <v/>
      </c>
      <c r="I52" s="139"/>
      <c r="J52" s="106" t="str">
        <f t="shared" si="4"/>
        <v/>
      </c>
      <c r="K52" s="134" t="str">
        <f>IF(J52="INS25",J52&amp;TEXT(COUNTIF($J$2:J52,"INS25"),"000"),IF(J52="C",J52&amp;TEXT(COUNTIF($J$2:J52,"C"),"000"),IF(J52="R",J52&amp;TEXT(COUNTIF($J$2:J52,"R"),"000"),IF(J52="A",J52&amp;TEXT(COUNTIF($J$2:J52,"A"),"000"),IF(J52="F",J52&amp;TEXT(COUNTIF($J$2:J52,"F"),"000"),IF(J52="M",J52&amp;TEXT(COUNTIF($J$2:J52,"M"),"000"),IF(J52="INS26",J52&amp;TEXT(COUNTIF($J$2:J52,"INS26"),"000"),"")))))))</f>
        <v/>
      </c>
    </row>
    <row r="53" spans="1:11" ht="15.75" customHeight="1">
      <c r="A53" s="135" t="str">
        <f t="shared" si="5"/>
        <v/>
      </c>
      <c r="B53" s="136"/>
      <c r="C53" s="5" t="str">
        <f t="shared" si="0"/>
        <v/>
      </c>
      <c r="D53" s="137"/>
      <c r="E53" s="5" t="str">
        <f t="shared" si="1"/>
        <v/>
      </c>
      <c r="F53" s="5" t="str">
        <f t="shared" si="2"/>
        <v/>
      </c>
      <c r="G53" s="138"/>
      <c r="H53" s="6" t="str">
        <f t="shared" si="3"/>
        <v/>
      </c>
      <c r="I53" s="139"/>
      <c r="J53" s="106" t="str">
        <f t="shared" si="4"/>
        <v/>
      </c>
      <c r="K53" s="134" t="str">
        <f>IF(J53="INS25",J53&amp;TEXT(COUNTIF($J$2:J53,"INS25"),"000"),IF(J53="C",J53&amp;TEXT(COUNTIF($J$2:J53,"C"),"000"),IF(J53="R",J53&amp;TEXT(COUNTIF($J$2:J53,"R"),"000"),IF(J53="A",J53&amp;TEXT(COUNTIF($J$2:J53,"A"),"000"),IF(J53="F",J53&amp;TEXT(COUNTIF($J$2:J53,"F"),"000"),IF(J53="M",J53&amp;TEXT(COUNTIF($J$2:J53,"M"),"000"),IF(J53="INS26",J53&amp;TEXT(COUNTIF($J$2:J53,"INS26"),"000"),"")))))))</f>
        <v/>
      </c>
    </row>
    <row r="54" spans="1:11" ht="15.75" customHeight="1">
      <c r="A54" s="135" t="str">
        <f t="shared" si="5"/>
        <v/>
      </c>
      <c r="B54" s="136"/>
      <c r="C54" s="5" t="str">
        <f t="shared" si="0"/>
        <v/>
      </c>
      <c r="D54" s="137"/>
      <c r="E54" s="5" t="str">
        <f t="shared" si="1"/>
        <v/>
      </c>
      <c r="F54" s="5" t="str">
        <f t="shared" si="2"/>
        <v/>
      </c>
      <c r="G54" s="138"/>
      <c r="H54" s="6" t="str">
        <f t="shared" si="3"/>
        <v/>
      </c>
      <c r="I54" s="139"/>
      <c r="J54" s="106" t="str">
        <f t="shared" si="4"/>
        <v/>
      </c>
      <c r="K54" s="134" t="str">
        <f>IF(J54="INS25",J54&amp;TEXT(COUNTIF($J$2:J54,"INS25"),"000"),IF(J54="C",J54&amp;TEXT(COUNTIF($J$2:J54,"C"),"000"),IF(J54="R",J54&amp;TEXT(COUNTIF($J$2:J54,"R"),"000"),IF(J54="A",J54&amp;TEXT(COUNTIF($J$2:J54,"A"),"000"),IF(J54="F",J54&amp;TEXT(COUNTIF($J$2:J54,"F"),"000"),IF(J54="M",J54&amp;TEXT(COUNTIF($J$2:J54,"M"),"000"),IF(J54="INS26",J54&amp;TEXT(COUNTIF($J$2:J54,"INS26"),"000"),"")))))))</f>
        <v/>
      </c>
    </row>
    <row r="55" spans="1:11" ht="15.75" customHeight="1">
      <c r="A55" s="135" t="str">
        <f t="shared" si="5"/>
        <v/>
      </c>
      <c r="B55" s="136"/>
      <c r="C55" s="5" t="str">
        <f t="shared" si="0"/>
        <v/>
      </c>
      <c r="D55" s="137"/>
      <c r="E55" s="5" t="str">
        <f t="shared" si="1"/>
        <v/>
      </c>
      <c r="F55" s="5" t="str">
        <f t="shared" si="2"/>
        <v/>
      </c>
      <c r="G55" s="138"/>
      <c r="H55" s="6" t="str">
        <f t="shared" si="3"/>
        <v/>
      </c>
      <c r="I55" s="139"/>
      <c r="J55" s="106" t="str">
        <f t="shared" si="4"/>
        <v/>
      </c>
      <c r="K55" s="134" t="str">
        <f>IF(J55="INS25",J55&amp;TEXT(COUNTIF($J$2:J55,"INS25"),"000"),IF(J55="C",J55&amp;TEXT(COUNTIF($J$2:J55,"C"),"000"),IF(J55="R",J55&amp;TEXT(COUNTIF($J$2:J55,"R"),"000"),IF(J55="A",J55&amp;TEXT(COUNTIF($J$2:J55,"A"),"000"),IF(J55="F",J55&amp;TEXT(COUNTIF($J$2:J55,"F"),"000"),IF(J55="M",J55&amp;TEXT(COUNTIF($J$2:J55,"M"),"000"),IF(J55="INS26",J55&amp;TEXT(COUNTIF($J$2:J55,"INS26"),"000"),"")))))))</f>
        <v/>
      </c>
    </row>
    <row r="56" spans="1:11" ht="15.75" customHeight="1">
      <c r="A56" s="135" t="str">
        <f t="shared" si="5"/>
        <v/>
      </c>
      <c r="B56" s="136"/>
      <c r="C56" s="5" t="str">
        <f t="shared" si="0"/>
        <v/>
      </c>
      <c r="D56" s="137"/>
      <c r="E56" s="5" t="str">
        <f t="shared" si="1"/>
        <v/>
      </c>
      <c r="F56" s="5" t="str">
        <f t="shared" si="2"/>
        <v/>
      </c>
      <c r="G56" s="138"/>
      <c r="H56" s="6" t="str">
        <f t="shared" si="3"/>
        <v/>
      </c>
      <c r="I56" s="139"/>
      <c r="J56" s="106" t="str">
        <f t="shared" si="4"/>
        <v/>
      </c>
      <c r="K56" s="134" t="str">
        <f>IF(J56="INS25",J56&amp;TEXT(COUNTIF($J$2:J56,"INS25"),"000"),IF(J56="C",J56&amp;TEXT(COUNTIF($J$2:J56,"C"),"000"),IF(J56="R",J56&amp;TEXT(COUNTIF($J$2:J56,"R"),"000"),IF(J56="A",J56&amp;TEXT(COUNTIF($J$2:J56,"A"),"000"),IF(J56="F",J56&amp;TEXT(COUNTIF($J$2:J56,"F"),"000"),IF(J56="M",J56&amp;TEXT(COUNTIF($J$2:J56,"M"),"000"),IF(J56="INS26",J56&amp;TEXT(COUNTIF($J$2:J56,"INS26"),"000"),"")))))))</f>
        <v/>
      </c>
    </row>
    <row r="57" spans="1:11" ht="15.75" customHeight="1">
      <c r="A57" s="135" t="str">
        <f t="shared" si="5"/>
        <v/>
      </c>
      <c r="B57" s="136"/>
      <c r="C57" s="5" t="str">
        <f t="shared" si="0"/>
        <v/>
      </c>
      <c r="D57" s="137"/>
      <c r="E57" s="5" t="str">
        <f t="shared" si="1"/>
        <v/>
      </c>
      <c r="F57" s="5" t="str">
        <f t="shared" si="2"/>
        <v/>
      </c>
      <c r="G57" s="138"/>
      <c r="H57" s="6" t="str">
        <f t="shared" si="3"/>
        <v/>
      </c>
      <c r="I57" s="139"/>
      <c r="J57" s="106" t="str">
        <f t="shared" si="4"/>
        <v/>
      </c>
      <c r="K57" s="134" t="str">
        <f>IF(J57="INS25",J57&amp;TEXT(COUNTIF($J$2:J57,"INS25"),"000"),IF(J57="C",J57&amp;TEXT(COUNTIF($J$2:J57,"C"),"000"),IF(J57="R",J57&amp;TEXT(COUNTIF($J$2:J57,"R"),"000"),IF(J57="A",J57&amp;TEXT(COUNTIF($J$2:J57,"A"),"000"),IF(J57="F",J57&amp;TEXT(COUNTIF($J$2:J57,"F"),"000"),IF(J57="M",J57&amp;TEXT(COUNTIF($J$2:J57,"M"),"000"),IF(J57="INS26",J57&amp;TEXT(COUNTIF($J$2:J57,"INS26"),"000"),"")))))))</f>
        <v/>
      </c>
    </row>
    <row r="58" spans="1:11" ht="15.75" customHeight="1">
      <c r="A58" s="135" t="str">
        <f t="shared" si="5"/>
        <v/>
      </c>
      <c r="B58" s="136"/>
      <c r="C58" s="5" t="str">
        <f t="shared" si="0"/>
        <v/>
      </c>
      <c r="D58" s="137"/>
      <c r="E58" s="5" t="str">
        <f t="shared" si="1"/>
        <v/>
      </c>
      <c r="F58" s="5" t="str">
        <f t="shared" si="2"/>
        <v/>
      </c>
      <c r="G58" s="138"/>
      <c r="H58" s="6" t="str">
        <f t="shared" si="3"/>
        <v/>
      </c>
      <c r="I58" s="139"/>
      <c r="J58" s="106" t="str">
        <f t="shared" si="4"/>
        <v/>
      </c>
      <c r="K58" s="134" t="str">
        <f>IF(J58="INS25",J58&amp;TEXT(COUNTIF($J$2:J58,"INS25"),"000"),IF(J58="C",J58&amp;TEXT(COUNTIF($J$2:J58,"C"),"000"),IF(J58="R",J58&amp;TEXT(COUNTIF($J$2:J58,"R"),"000"),IF(J58="A",J58&amp;TEXT(COUNTIF($J$2:J58,"A"),"000"),IF(J58="F",J58&amp;TEXT(COUNTIF($J$2:J58,"F"),"000"),IF(J58="M",J58&amp;TEXT(COUNTIF($J$2:J58,"M"),"000"),IF(J58="INS26",J58&amp;TEXT(COUNTIF($J$2:J58,"INS26"),"000"),"")))))))</f>
        <v/>
      </c>
    </row>
    <row r="59" spans="1:11" ht="15.75" customHeight="1">
      <c r="A59" s="135" t="str">
        <f t="shared" si="5"/>
        <v/>
      </c>
      <c r="B59" s="136"/>
      <c r="C59" s="5" t="str">
        <f t="shared" si="0"/>
        <v/>
      </c>
      <c r="D59" s="137"/>
      <c r="E59" s="5" t="str">
        <f t="shared" si="1"/>
        <v/>
      </c>
      <c r="F59" s="5" t="str">
        <f t="shared" si="2"/>
        <v/>
      </c>
      <c r="G59" s="138"/>
      <c r="H59" s="6" t="str">
        <f t="shared" si="3"/>
        <v/>
      </c>
      <c r="I59" s="139"/>
      <c r="J59" s="106" t="str">
        <f t="shared" si="4"/>
        <v/>
      </c>
      <c r="K59" s="134" t="str">
        <f>IF(J59="INS25",J59&amp;TEXT(COUNTIF($J$2:J59,"INS25"),"000"),IF(J59="C",J59&amp;TEXT(COUNTIF($J$2:J59,"C"),"000"),IF(J59="R",J59&amp;TEXT(COUNTIF($J$2:J59,"R"),"000"),IF(J59="A",J59&amp;TEXT(COUNTIF($J$2:J59,"A"),"000"),IF(J59="F",J59&amp;TEXT(COUNTIF($J$2:J59,"F"),"000"),IF(J59="M",J59&amp;TEXT(COUNTIF($J$2:J59,"M"),"000"),IF(J59="INS26",J59&amp;TEXT(COUNTIF($J$2:J59,"INS26"),"000"),"")))))))</f>
        <v/>
      </c>
    </row>
    <row r="60" spans="1:11" ht="15.75" customHeight="1">
      <c r="A60" s="135" t="str">
        <f t="shared" si="5"/>
        <v/>
      </c>
      <c r="B60" s="136"/>
      <c r="C60" s="5" t="str">
        <f t="shared" si="0"/>
        <v/>
      </c>
      <c r="D60" s="137"/>
      <c r="E60" s="5" t="str">
        <f t="shared" si="1"/>
        <v/>
      </c>
      <c r="F60" s="5" t="str">
        <f t="shared" si="2"/>
        <v/>
      </c>
      <c r="G60" s="138"/>
      <c r="H60" s="6" t="str">
        <f t="shared" si="3"/>
        <v/>
      </c>
      <c r="I60" s="139"/>
      <c r="J60" s="106" t="str">
        <f t="shared" si="4"/>
        <v/>
      </c>
      <c r="K60" s="134" t="str">
        <f>IF(J60="INS25",J60&amp;TEXT(COUNTIF($J$2:J60,"INS25"),"000"),IF(J60="C",J60&amp;TEXT(COUNTIF($J$2:J60,"C"),"000"),IF(J60="R",J60&amp;TEXT(COUNTIF($J$2:J60,"R"),"000"),IF(J60="A",J60&amp;TEXT(COUNTIF($J$2:J60,"A"),"000"),IF(J60="F",J60&amp;TEXT(COUNTIF($J$2:J60,"F"),"000"),IF(J60="M",J60&amp;TEXT(COUNTIF($J$2:J60,"M"),"000"),IF(J60="INS26",J60&amp;TEXT(COUNTIF($J$2:J60,"INS26"),"000"),"")))))))</f>
        <v/>
      </c>
    </row>
    <row r="61" spans="1:11" ht="15.75" customHeight="1">
      <c r="A61" s="135" t="str">
        <f t="shared" si="5"/>
        <v/>
      </c>
      <c r="B61" s="136"/>
      <c r="C61" s="5" t="str">
        <f t="shared" si="0"/>
        <v/>
      </c>
      <c r="D61" s="137"/>
      <c r="E61" s="5" t="str">
        <f t="shared" si="1"/>
        <v/>
      </c>
      <c r="F61" s="5" t="str">
        <f t="shared" si="2"/>
        <v/>
      </c>
      <c r="G61" s="138"/>
      <c r="H61" s="6" t="str">
        <f t="shared" si="3"/>
        <v/>
      </c>
      <c r="I61" s="139"/>
      <c r="J61" s="106" t="str">
        <f t="shared" si="4"/>
        <v/>
      </c>
      <c r="K61" s="134" t="str">
        <f>IF(J61="INS25",J61&amp;TEXT(COUNTIF($J$2:J61,"INS25"),"000"),IF(J61="C",J61&amp;TEXT(COUNTIF($J$2:J61,"C"),"000"),IF(J61="R",J61&amp;TEXT(COUNTIF($J$2:J61,"R"),"000"),IF(J61="A",J61&amp;TEXT(COUNTIF($J$2:J61,"A"),"000"),IF(J61="F",J61&amp;TEXT(COUNTIF($J$2:J61,"F"),"000"),IF(J61="M",J61&amp;TEXT(COUNTIF($J$2:J61,"M"),"000"),IF(J61="INS26",J61&amp;TEXT(COUNTIF($J$2:J61,"INS26"),"000"),"")))))))</f>
        <v/>
      </c>
    </row>
    <row r="62" spans="1:11" ht="15.75" customHeight="1">
      <c r="A62" s="135" t="str">
        <f t="shared" si="5"/>
        <v/>
      </c>
      <c r="B62" s="136"/>
      <c r="C62" s="5" t="str">
        <f t="shared" si="0"/>
        <v/>
      </c>
      <c r="D62" s="137"/>
      <c r="E62" s="5" t="str">
        <f t="shared" si="1"/>
        <v/>
      </c>
      <c r="F62" s="5" t="str">
        <f t="shared" si="2"/>
        <v/>
      </c>
      <c r="G62" s="138"/>
      <c r="H62" s="6" t="str">
        <f t="shared" si="3"/>
        <v/>
      </c>
      <c r="I62" s="139"/>
      <c r="J62" s="106" t="str">
        <f t="shared" si="4"/>
        <v/>
      </c>
      <c r="K62" s="134" t="str">
        <f>IF(J62="INS25",J62&amp;TEXT(COUNTIF($J$2:J62,"INS25"),"000"),IF(J62="C",J62&amp;TEXT(COUNTIF($J$2:J62,"C"),"000"),IF(J62="R",J62&amp;TEXT(COUNTIF($J$2:J62,"R"),"000"),IF(J62="A",J62&amp;TEXT(COUNTIF($J$2:J62,"A"),"000"),IF(J62="F",J62&amp;TEXT(COUNTIF($J$2:J62,"F"),"000"),IF(J62="M",J62&amp;TEXT(COUNTIF($J$2:J62,"M"),"000"),IF(J62="INS26",J62&amp;TEXT(COUNTIF($J$2:J62,"INS26"),"000"),"")))))))</f>
        <v/>
      </c>
    </row>
    <row r="63" spans="1:11" ht="15.75" customHeight="1">
      <c r="A63" s="135" t="str">
        <f t="shared" si="5"/>
        <v/>
      </c>
      <c r="B63" s="136"/>
      <c r="C63" s="5" t="str">
        <f t="shared" si="0"/>
        <v/>
      </c>
      <c r="D63" s="137"/>
      <c r="E63" s="5" t="str">
        <f t="shared" si="1"/>
        <v/>
      </c>
      <c r="F63" s="5" t="str">
        <f t="shared" si="2"/>
        <v/>
      </c>
      <c r="G63" s="138"/>
      <c r="H63" s="6" t="str">
        <f t="shared" si="3"/>
        <v/>
      </c>
      <c r="I63" s="139"/>
      <c r="J63" s="106" t="str">
        <f t="shared" si="4"/>
        <v/>
      </c>
      <c r="K63" s="134" t="str">
        <f>IF(J63="INS25",J63&amp;TEXT(COUNTIF($J$2:J63,"INS25"),"000"),IF(J63="C",J63&amp;TEXT(COUNTIF($J$2:J63,"C"),"000"),IF(J63="R",J63&amp;TEXT(COUNTIF($J$2:J63,"R"),"000"),IF(J63="A",J63&amp;TEXT(COUNTIF($J$2:J63,"A"),"000"),IF(J63="F",J63&amp;TEXT(COUNTIF($J$2:J63,"F"),"000"),IF(J63="M",J63&amp;TEXT(COUNTIF($J$2:J63,"M"),"000"),IF(J63="INS26",J63&amp;TEXT(COUNTIF($J$2:J63,"INS26"),"000"),"")))))))</f>
        <v/>
      </c>
    </row>
    <row r="64" spans="1:11" ht="15.75" customHeight="1">
      <c r="A64" s="135" t="str">
        <f t="shared" si="5"/>
        <v/>
      </c>
      <c r="B64" s="136"/>
      <c r="C64" s="5" t="str">
        <f t="shared" si="0"/>
        <v/>
      </c>
      <c r="D64" s="137"/>
      <c r="E64" s="86" t="str">
        <f t="shared" si="1"/>
        <v/>
      </c>
      <c r="F64" s="5" t="str">
        <f t="shared" si="2"/>
        <v/>
      </c>
      <c r="G64" s="138"/>
      <c r="H64" s="6" t="str">
        <f t="shared" si="3"/>
        <v/>
      </c>
      <c r="I64" s="139"/>
      <c r="J64" s="106" t="str">
        <f t="shared" si="4"/>
        <v/>
      </c>
      <c r="K64" s="134" t="str">
        <f>IF(J64="INS25",J64&amp;TEXT(COUNTIF($J$2:J64,"INS25"),"000"),IF(J64="C",J64&amp;TEXT(COUNTIF($J$2:J64,"C"),"000"),IF(J64="R",J64&amp;TEXT(COUNTIF($J$2:J64,"R"),"000"),IF(J64="A",J64&amp;TEXT(COUNTIF($J$2:J64,"A"),"000"),IF(J64="F",J64&amp;TEXT(COUNTIF($J$2:J64,"F"),"000"),IF(J64="M",J64&amp;TEXT(COUNTIF($J$2:J64,"M"),"000"),IF(J64="INS26",J64&amp;TEXT(COUNTIF($J$2:J64,"INS26"),"000"),"")))))))</f>
        <v/>
      </c>
    </row>
    <row r="65" spans="1:11" ht="15.75" customHeight="1">
      <c r="A65" s="135" t="str">
        <f t="shared" si="5"/>
        <v/>
      </c>
      <c r="B65" s="136"/>
      <c r="C65" s="5" t="str">
        <f t="shared" si="0"/>
        <v/>
      </c>
      <c r="D65" s="137"/>
      <c r="E65" s="86" t="str">
        <f t="shared" si="1"/>
        <v/>
      </c>
      <c r="F65" s="5" t="str">
        <f t="shared" si="2"/>
        <v/>
      </c>
      <c r="G65" s="138"/>
      <c r="H65" s="6" t="str">
        <f t="shared" si="3"/>
        <v/>
      </c>
      <c r="I65" s="139"/>
      <c r="J65" s="106" t="str">
        <f t="shared" si="4"/>
        <v/>
      </c>
      <c r="K65" s="134" t="str">
        <f>IF(J65="INS25",J65&amp;TEXT(COUNTIF($J$2:J65,"INS25"),"000"),IF(J65="C",J65&amp;TEXT(COUNTIF($J$2:J65,"C"),"000"),IF(J65="R",J65&amp;TEXT(COUNTIF($J$2:J65,"R"),"000"),IF(J65="A",J65&amp;TEXT(COUNTIF($J$2:J65,"A"),"000"),IF(J65="F",J65&amp;TEXT(COUNTIF($J$2:J65,"F"),"000"),IF(J65="M",J65&amp;TEXT(COUNTIF($J$2:J65,"M"),"000"),IF(J65="INS26",J65&amp;TEXT(COUNTIF($J$2:J65,"INS26"),"000"),"")))))))</f>
        <v/>
      </c>
    </row>
    <row r="66" spans="1:11" ht="15.75" customHeight="1">
      <c r="A66" s="135" t="str">
        <f t="shared" si="5"/>
        <v/>
      </c>
      <c r="B66" s="136"/>
      <c r="C66" s="5" t="str">
        <f t="shared" si="0"/>
        <v/>
      </c>
      <c r="D66" s="137"/>
      <c r="E66" s="86" t="str">
        <f t="shared" si="1"/>
        <v/>
      </c>
      <c r="F66" s="5" t="str">
        <f t="shared" si="2"/>
        <v/>
      </c>
      <c r="G66" s="138"/>
      <c r="H66" s="6" t="str">
        <f t="shared" ref="H66:H116" si="6">IF(G66="","",CONVERTIRNUM(G66))</f>
        <v/>
      </c>
      <c r="I66" s="139"/>
      <c r="J66" s="106" t="str">
        <f t="shared" si="4"/>
        <v/>
      </c>
      <c r="K66" s="134" t="str">
        <f>IF(J66="INS25",J66&amp;TEXT(COUNTIF($J$2:J66,"INS25"),"000"),IF(J66="C",J66&amp;TEXT(COUNTIF($J$2:J66,"C"),"000"),IF(J66="R",J66&amp;TEXT(COUNTIF($J$2:J66,"R"),"000"),IF(J66="A",J66&amp;TEXT(COUNTIF($J$2:J66,"A"),"000"),IF(J66="F",J66&amp;TEXT(COUNTIF($J$2:J66,"F"),"000"),IF(J66="M",J66&amp;TEXT(COUNTIF($J$2:J66,"M"),"000"),IF(J66="INS26",J66&amp;TEXT(COUNTIF($J$2:J66,"INS26"),"000"),"")))))))</f>
        <v/>
      </c>
    </row>
    <row r="67" spans="1:11" ht="15.75" customHeight="1">
      <c r="A67" s="135" t="str">
        <f t="shared" ref="A67:A130" si="7">K67</f>
        <v/>
      </c>
      <c r="B67" s="136"/>
      <c r="C67" s="5" t="str">
        <f t="shared" si="0"/>
        <v/>
      </c>
      <c r="D67" s="137"/>
      <c r="E67" s="86" t="str">
        <f>IF(B67="","",WEEKNUM(B67,21))</f>
        <v/>
      </c>
      <c r="F67" s="5" t="str">
        <f t="shared" ref="F67:F79" si="8">IF(B67="","",TEXT(B67,"mmmmmmmmmmm"))</f>
        <v/>
      </c>
      <c r="G67" s="138"/>
      <c r="H67" s="6" t="str">
        <f t="shared" si="6"/>
        <v/>
      </c>
      <c r="I67" s="139"/>
      <c r="J67" s="106" t="str">
        <f t="shared" ref="J67:J130" si="9">IF(I67="Inscripcion 2025 - 2026","INS25",IF(I67="Inscripcion 2026 - 2027","INS26",IF(I67="FOFI","F",IF(I67="Amarillas","A",IF(I67="Rojas","R",IF(I67="Carnet","C",IF(I67="Multas","M","")))))))</f>
        <v/>
      </c>
      <c r="K67" s="134" t="str">
        <f>IF(J67="INS25",J67&amp;TEXT(COUNTIF($J$2:J67,"INS25"),"000"),IF(J67="C",J67&amp;TEXT(COUNTIF($J$2:J67,"C"),"000"),IF(J67="R",J67&amp;TEXT(COUNTIF($J$2:J67,"R"),"000"),IF(J67="A",J67&amp;TEXT(COUNTIF($J$2:J67,"A"),"000"),IF(J67="F",J67&amp;TEXT(COUNTIF($J$2:J67,"F"),"000"),IF(J67="M",J67&amp;TEXT(COUNTIF($J$2:J67,"M"),"000"),IF(J67="INS26",J67&amp;TEXT(COUNTIF($J$2:J67,"INS26"),"000"),"")))))))</f>
        <v/>
      </c>
    </row>
    <row r="68" spans="1:11" ht="15.75" customHeight="1">
      <c r="A68" s="135" t="str">
        <f t="shared" si="7"/>
        <v/>
      </c>
      <c r="B68" s="136"/>
      <c r="C68" s="5" t="str">
        <f t="shared" si="0"/>
        <v/>
      </c>
      <c r="D68" s="137"/>
      <c r="E68" s="86" t="str">
        <f>IF(B68="","",WEEKNUM(B68,21))</f>
        <v/>
      </c>
      <c r="F68" s="5" t="str">
        <f t="shared" si="8"/>
        <v/>
      </c>
      <c r="G68" s="138"/>
      <c r="H68" s="6" t="str">
        <f t="shared" si="6"/>
        <v/>
      </c>
      <c r="I68" s="139"/>
      <c r="J68" s="106" t="str">
        <f t="shared" si="9"/>
        <v/>
      </c>
      <c r="K68" s="134" t="str">
        <f>IF(J68="INS25",J68&amp;TEXT(COUNTIF($J$2:J68,"INS25"),"000"),IF(J68="C",J68&amp;TEXT(COUNTIF($J$2:J68,"C"),"000"),IF(J68="R",J68&amp;TEXT(COUNTIF($J$2:J68,"R"),"000"),IF(J68="A",J68&amp;TEXT(COUNTIF($J$2:J68,"A"),"000"),IF(J68="F",J68&amp;TEXT(COUNTIF($J$2:J68,"F"),"000"),IF(J68="M",J68&amp;TEXT(COUNTIF($J$2:J68,"M"),"000"),IF(J68="INS26",J68&amp;TEXT(COUNTIF($J$2:J68,"INS26"),"000"),"")))))))</f>
        <v/>
      </c>
    </row>
    <row r="69" spans="1:11" ht="15.75" customHeight="1">
      <c r="A69" s="135" t="str">
        <f t="shared" si="7"/>
        <v/>
      </c>
      <c r="B69" s="136"/>
      <c r="C69" s="5" t="str">
        <f t="shared" si="0"/>
        <v/>
      </c>
      <c r="D69" s="137"/>
      <c r="E69" s="86" t="str">
        <f t="shared" ref="E69:E82" si="10">IF(B69="","",WEEKNUM(B69,21))</f>
        <v/>
      </c>
      <c r="F69" s="5" t="str">
        <f t="shared" si="8"/>
        <v/>
      </c>
      <c r="G69" s="138"/>
      <c r="H69" s="6" t="str">
        <f t="shared" si="6"/>
        <v/>
      </c>
      <c r="I69" s="139"/>
      <c r="J69" s="106" t="str">
        <f t="shared" si="9"/>
        <v/>
      </c>
      <c r="K69" s="134" t="str">
        <f>IF(J69="INS25",J69&amp;TEXT(COUNTIF($J$2:J69,"INS25"),"000"),IF(J69="C",J69&amp;TEXT(COUNTIF($J$2:J69,"C"),"000"),IF(J69="R",J69&amp;TEXT(COUNTIF($J$2:J69,"R"),"000"),IF(J69="A",J69&amp;TEXT(COUNTIF($J$2:J69,"A"),"000"),IF(J69="F",J69&amp;TEXT(COUNTIF($J$2:J69,"F"),"000"),IF(J69="M",J69&amp;TEXT(COUNTIF($J$2:J69,"M"),"000"),IF(J69="INS26",J69&amp;TEXT(COUNTIF($J$2:J69,"INS26"),"000"),"")))))))</f>
        <v/>
      </c>
    </row>
    <row r="70" spans="1:11" ht="15.75" customHeight="1">
      <c r="A70" s="135" t="str">
        <f t="shared" si="7"/>
        <v/>
      </c>
      <c r="B70" s="136"/>
      <c r="C70" s="5" t="str">
        <f t="shared" si="0"/>
        <v/>
      </c>
      <c r="D70" s="137"/>
      <c r="E70" s="86" t="str">
        <f t="shared" si="10"/>
        <v/>
      </c>
      <c r="F70" s="5" t="str">
        <f t="shared" si="8"/>
        <v/>
      </c>
      <c r="G70" s="138"/>
      <c r="H70" s="6" t="str">
        <f t="shared" si="6"/>
        <v/>
      </c>
      <c r="I70" s="139"/>
      <c r="J70" s="106" t="str">
        <f t="shared" si="9"/>
        <v/>
      </c>
      <c r="K70" s="134" t="str">
        <f>IF(J70="INS25",J70&amp;TEXT(COUNTIF($J$2:J70,"INS25"),"000"),IF(J70="C",J70&amp;TEXT(COUNTIF($J$2:J70,"C"),"000"),IF(J70="R",J70&amp;TEXT(COUNTIF($J$2:J70,"R"),"000"),IF(J70="A",J70&amp;TEXT(COUNTIF($J$2:J70,"A"),"000"),IF(J70="F",J70&amp;TEXT(COUNTIF($J$2:J70,"F"),"000"),IF(J70="M",J70&amp;TEXT(COUNTIF($J$2:J70,"M"),"000"),IF(J70="INS26",J70&amp;TEXT(COUNTIF($J$2:J70,"INS26"),"000"),"")))))))</f>
        <v/>
      </c>
    </row>
    <row r="71" spans="1:11" ht="15.75" customHeight="1">
      <c r="A71" s="135" t="str">
        <f t="shared" si="7"/>
        <v/>
      </c>
      <c r="B71" s="136"/>
      <c r="C71" s="5" t="str">
        <f t="shared" si="0"/>
        <v/>
      </c>
      <c r="D71" s="137"/>
      <c r="E71" s="86" t="str">
        <f t="shared" si="10"/>
        <v/>
      </c>
      <c r="F71" s="5" t="str">
        <f t="shared" si="8"/>
        <v/>
      </c>
      <c r="G71" s="138"/>
      <c r="H71" s="6" t="str">
        <f t="shared" si="6"/>
        <v/>
      </c>
      <c r="I71" s="139"/>
      <c r="J71" s="106" t="str">
        <f t="shared" si="9"/>
        <v/>
      </c>
      <c r="K71" s="134" t="str">
        <f>IF(J71="INS25",J71&amp;TEXT(COUNTIF($J$2:J71,"INS25"),"000"),IF(J71="C",J71&amp;TEXT(COUNTIF($J$2:J71,"C"),"000"),IF(J71="R",J71&amp;TEXT(COUNTIF($J$2:J71,"R"),"000"),IF(J71="A",J71&amp;TEXT(COUNTIF($J$2:J71,"A"),"000"),IF(J71="F",J71&amp;TEXT(COUNTIF($J$2:J71,"F"),"000"),IF(J71="M",J71&amp;TEXT(COUNTIF($J$2:J71,"M"),"000"),IF(J71="INS26",J71&amp;TEXT(COUNTIF($J$2:J71,"INS26"),"000"),"")))))))</f>
        <v/>
      </c>
    </row>
    <row r="72" spans="1:11" ht="15.75" customHeight="1">
      <c r="A72" s="135" t="str">
        <f t="shared" si="7"/>
        <v/>
      </c>
      <c r="B72" s="136"/>
      <c r="C72" s="5" t="str">
        <f t="shared" si="0"/>
        <v/>
      </c>
      <c r="D72" s="137"/>
      <c r="E72" s="86" t="str">
        <f t="shared" si="10"/>
        <v/>
      </c>
      <c r="F72" s="5" t="str">
        <f t="shared" si="8"/>
        <v/>
      </c>
      <c r="G72" s="138"/>
      <c r="H72" s="6" t="str">
        <f t="shared" si="6"/>
        <v/>
      </c>
      <c r="I72" s="139"/>
      <c r="J72" s="106" t="str">
        <f t="shared" si="9"/>
        <v/>
      </c>
      <c r="K72" s="134" t="str">
        <f>IF(J72="INS25",J72&amp;TEXT(COUNTIF($J$2:J72,"INS25"),"000"),IF(J72="C",J72&amp;TEXT(COUNTIF($J$2:J72,"C"),"000"),IF(J72="R",J72&amp;TEXT(COUNTIF($J$2:J72,"R"),"000"),IF(J72="A",J72&amp;TEXT(COUNTIF($J$2:J72,"A"),"000"),IF(J72="F",J72&amp;TEXT(COUNTIF($J$2:J72,"F"),"000"),IF(J72="M",J72&amp;TEXT(COUNTIF($J$2:J72,"M"),"000"),IF(J72="INS26",J72&amp;TEXT(COUNTIF($J$2:J72,"INS26"),"000"),"")))))))</f>
        <v/>
      </c>
    </row>
    <row r="73" spans="1:11" ht="15.75" customHeight="1">
      <c r="A73" s="135" t="str">
        <f t="shared" si="7"/>
        <v/>
      </c>
      <c r="B73" s="136"/>
      <c r="C73" s="5" t="str">
        <f t="shared" si="0"/>
        <v/>
      </c>
      <c r="D73" s="137"/>
      <c r="E73" s="86" t="str">
        <f t="shared" si="10"/>
        <v/>
      </c>
      <c r="F73" s="5" t="str">
        <f t="shared" si="8"/>
        <v/>
      </c>
      <c r="G73" s="138"/>
      <c r="H73" s="6" t="str">
        <f t="shared" si="6"/>
        <v/>
      </c>
      <c r="I73" s="139"/>
      <c r="J73" s="106" t="str">
        <f t="shared" si="9"/>
        <v/>
      </c>
      <c r="K73" s="134" t="str">
        <f>IF(J73="INS25",J73&amp;TEXT(COUNTIF($J$2:J73,"INS25"),"000"),IF(J73="C",J73&amp;TEXT(COUNTIF($J$2:J73,"C"),"000"),IF(J73="R",J73&amp;TEXT(COUNTIF($J$2:J73,"R"),"000"),IF(J73="A",J73&amp;TEXT(COUNTIF($J$2:J73,"A"),"000"),IF(J73="F",J73&amp;TEXT(COUNTIF($J$2:J73,"F"),"000"),IF(J73="M",J73&amp;TEXT(COUNTIF($J$2:J73,"M"),"000"),IF(J73="INS26",J73&amp;TEXT(COUNTIF($J$2:J73,"INS26"),"000"),"")))))))</f>
        <v/>
      </c>
    </row>
    <row r="74" spans="1:11" ht="15.75" customHeight="1">
      <c r="A74" s="135" t="str">
        <f t="shared" si="7"/>
        <v/>
      </c>
      <c r="B74" s="136"/>
      <c r="C74" s="5" t="str">
        <f t="shared" si="0"/>
        <v/>
      </c>
      <c r="D74" s="137"/>
      <c r="E74" s="86" t="str">
        <f t="shared" si="10"/>
        <v/>
      </c>
      <c r="F74" s="5" t="str">
        <f t="shared" si="8"/>
        <v/>
      </c>
      <c r="G74" s="138"/>
      <c r="H74" s="6" t="str">
        <f t="shared" si="6"/>
        <v/>
      </c>
      <c r="I74" s="139"/>
      <c r="J74" s="106" t="str">
        <f t="shared" si="9"/>
        <v/>
      </c>
      <c r="K74" s="134" t="str">
        <f>IF(J74="INS25",J74&amp;TEXT(COUNTIF($J$2:J74,"INS25"),"000"),IF(J74="C",J74&amp;TEXT(COUNTIF($J$2:J74,"C"),"000"),IF(J74="R",J74&amp;TEXT(COUNTIF($J$2:J74,"R"),"000"),IF(J74="A",J74&amp;TEXT(COUNTIF($J$2:J74,"A"),"000"),IF(J74="F",J74&amp;TEXT(COUNTIF($J$2:J74,"F"),"000"),IF(J74="M",J74&amp;TEXT(COUNTIF($J$2:J74,"M"),"000"),IF(J74="INS26",J74&amp;TEXT(COUNTIF($J$2:J74,"INS26"),"000"),"")))))))</f>
        <v/>
      </c>
    </row>
    <row r="75" spans="1:11" ht="15.75" customHeight="1">
      <c r="A75" s="135" t="str">
        <f t="shared" si="7"/>
        <v/>
      </c>
      <c r="B75" s="136"/>
      <c r="C75" s="5" t="str">
        <f t="shared" si="0"/>
        <v/>
      </c>
      <c r="D75" s="137"/>
      <c r="E75" s="86" t="str">
        <f t="shared" si="10"/>
        <v/>
      </c>
      <c r="F75" s="5" t="str">
        <f t="shared" si="8"/>
        <v/>
      </c>
      <c r="G75" s="138"/>
      <c r="H75" s="6" t="str">
        <f t="shared" si="6"/>
        <v/>
      </c>
      <c r="I75" s="139"/>
      <c r="J75" s="106" t="str">
        <f t="shared" si="9"/>
        <v/>
      </c>
      <c r="K75" s="134" t="str">
        <f>IF(J75="INS25",J75&amp;TEXT(COUNTIF($J$2:J75,"INS25"),"000"),IF(J75="C",J75&amp;TEXT(COUNTIF($J$2:J75,"C"),"000"),IF(J75="R",J75&amp;TEXT(COUNTIF($J$2:J75,"R"),"000"),IF(J75="A",J75&amp;TEXT(COUNTIF($J$2:J75,"A"),"000"),IF(J75="F",J75&amp;TEXT(COUNTIF($J$2:J75,"F"),"000"),IF(J75="M",J75&amp;TEXT(COUNTIF($J$2:J75,"M"),"000"),IF(J75="INS26",J75&amp;TEXT(COUNTIF($J$2:J75,"INS26"),"000"),"")))))))</f>
        <v/>
      </c>
    </row>
    <row r="76" spans="1:11" ht="15.75" customHeight="1">
      <c r="A76" s="135" t="str">
        <f t="shared" si="7"/>
        <v/>
      </c>
      <c r="B76" s="136"/>
      <c r="C76" s="5" t="str">
        <f t="shared" si="0"/>
        <v/>
      </c>
      <c r="D76" s="137"/>
      <c r="E76" s="5" t="str">
        <f t="shared" si="10"/>
        <v/>
      </c>
      <c r="F76" s="5" t="str">
        <f t="shared" si="8"/>
        <v/>
      </c>
      <c r="G76" s="138"/>
      <c r="H76" s="6" t="str">
        <f t="shared" si="6"/>
        <v/>
      </c>
      <c r="I76" s="139"/>
      <c r="J76" s="106" t="str">
        <f t="shared" si="9"/>
        <v/>
      </c>
      <c r="K76" s="134" t="str">
        <f>IF(J76="INS25",J76&amp;TEXT(COUNTIF($J$2:J76,"INS25"),"000"),IF(J76="C",J76&amp;TEXT(COUNTIF($J$2:J76,"C"),"000"),IF(J76="R",J76&amp;TEXT(COUNTIF($J$2:J76,"R"),"000"),IF(J76="A",J76&amp;TEXT(COUNTIF($J$2:J76,"A"),"000"),IF(J76="F",J76&amp;TEXT(COUNTIF($J$2:J76,"F"),"000"),IF(J76="M",J76&amp;TEXT(COUNTIF($J$2:J76,"M"),"000"),IF(J76="INS26",J76&amp;TEXT(COUNTIF($J$2:J76,"INS26"),"000"),"")))))))</f>
        <v/>
      </c>
    </row>
    <row r="77" spans="1:11" ht="15.75" customHeight="1">
      <c r="A77" s="135" t="str">
        <f t="shared" si="7"/>
        <v/>
      </c>
      <c r="B77" s="136"/>
      <c r="C77" s="5" t="str">
        <f t="shared" si="0"/>
        <v/>
      </c>
      <c r="D77" s="137"/>
      <c r="E77" s="5" t="str">
        <f t="shared" si="10"/>
        <v/>
      </c>
      <c r="F77" s="5" t="str">
        <f t="shared" si="8"/>
        <v/>
      </c>
      <c r="G77" s="138"/>
      <c r="H77" s="6" t="str">
        <f t="shared" si="6"/>
        <v/>
      </c>
      <c r="I77" s="139"/>
      <c r="J77" s="106" t="str">
        <f t="shared" si="9"/>
        <v/>
      </c>
      <c r="K77" s="134" t="str">
        <f>IF(J77="INS25",J77&amp;TEXT(COUNTIF($J$2:J77,"INS25"),"000"),IF(J77="C",J77&amp;TEXT(COUNTIF($J$2:J77,"C"),"000"),IF(J77="R",J77&amp;TEXT(COUNTIF($J$2:J77,"R"),"000"),IF(J77="A",J77&amp;TEXT(COUNTIF($J$2:J77,"A"),"000"),IF(J77="F",J77&amp;TEXT(COUNTIF($J$2:J77,"F"),"000"),IF(J77="M",J77&amp;TEXT(COUNTIF($J$2:J77,"M"),"000"),IF(J77="INS26",J77&amp;TEXT(COUNTIF($J$2:J77,"INS26"),"000"),"")))))))</f>
        <v/>
      </c>
    </row>
    <row r="78" spans="1:11" ht="15.75" customHeight="1">
      <c r="A78" s="135" t="str">
        <f t="shared" si="7"/>
        <v/>
      </c>
      <c r="B78" s="136"/>
      <c r="C78" s="5" t="str">
        <f t="shared" si="0"/>
        <v/>
      </c>
      <c r="D78" s="137"/>
      <c r="E78" s="5" t="str">
        <f t="shared" si="10"/>
        <v/>
      </c>
      <c r="F78" s="5" t="str">
        <f t="shared" si="8"/>
        <v/>
      </c>
      <c r="G78" s="138"/>
      <c r="H78" s="6" t="str">
        <f t="shared" si="6"/>
        <v/>
      </c>
      <c r="I78" s="139"/>
      <c r="J78" s="106" t="str">
        <f t="shared" si="9"/>
        <v/>
      </c>
      <c r="K78" s="134" t="str">
        <f>IF(J78="INS25",J78&amp;TEXT(COUNTIF($J$2:J78,"INS25"),"000"),IF(J78="C",J78&amp;TEXT(COUNTIF($J$2:J78,"C"),"000"),IF(J78="R",J78&amp;TEXT(COUNTIF($J$2:J78,"R"),"000"),IF(J78="A",J78&amp;TEXT(COUNTIF($J$2:J78,"A"),"000"),IF(J78="F",J78&amp;TEXT(COUNTIF($J$2:J78,"F"),"000"),IF(J78="M",J78&amp;TEXT(COUNTIF($J$2:J78,"M"),"000"),IF(J78="INS26",J78&amp;TEXT(COUNTIF($J$2:J78,"INS26"),"000"),"")))))))</f>
        <v/>
      </c>
    </row>
    <row r="79" spans="1:11" ht="15.75" customHeight="1">
      <c r="A79" s="135" t="str">
        <f t="shared" si="7"/>
        <v/>
      </c>
      <c r="B79" s="136"/>
      <c r="C79" s="5" t="str">
        <f t="shared" si="0"/>
        <v/>
      </c>
      <c r="D79" s="137"/>
      <c r="E79" s="5" t="str">
        <f t="shared" si="10"/>
        <v/>
      </c>
      <c r="F79" s="5" t="str">
        <f t="shared" si="8"/>
        <v/>
      </c>
      <c r="G79" s="138"/>
      <c r="H79" s="6" t="str">
        <f t="shared" si="6"/>
        <v/>
      </c>
      <c r="I79" s="139"/>
      <c r="J79" s="106" t="str">
        <f t="shared" si="9"/>
        <v/>
      </c>
      <c r="K79" s="134" t="str">
        <f>IF(J79="INS25",J79&amp;TEXT(COUNTIF($J$2:J79,"INS25"),"000"),IF(J79="C",J79&amp;TEXT(COUNTIF($J$2:J79,"C"),"000"),IF(J79="R",J79&amp;TEXT(COUNTIF($J$2:J79,"R"),"000"),IF(J79="A",J79&amp;TEXT(COUNTIF($J$2:J79,"A"),"000"),IF(J79="F",J79&amp;TEXT(COUNTIF($J$2:J79,"F"),"000"),IF(J79="M",J79&amp;TEXT(COUNTIF($J$2:J79,"M"),"000"),IF(J79="INS26",J79&amp;TEXT(COUNTIF($J$2:J79,"INS26"),"000"),"")))))))</f>
        <v/>
      </c>
    </row>
    <row r="80" spans="1:11" ht="15.75" customHeight="1">
      <c r="A80" s="135" t="str">
        <f t="shared" si="7"/>
        <v/>
      </c>
      <c r="B80" s="136"/>
      <c r="C80" s="5" t="str">
        <f t="shared" si="0"/>
        <v/>
      </c>
      <c r="D80" s="137"/>
      <c r="E80" s="5" t="str">
        <f t="shared" si="10"/>
        <v/>
      </c>
      <c r="F80" s="5" t="str">
        <f t="shared" ref="F80:F193" si="11">IF(B80="","",TEXT(B80,"mmmmmmmmmmm"))</f>
        <v/>
      </c>
      <c r="G80" s="138"/>
      <c r="H80" s="6" t="str">
        <f t="shared" si="6"/>
        <v/>
      </c>
      <c r="I80" s="139"/>
      <c r="J80" s="106" t="str">
        <f t="shared" si="9"/>
        <v/>
      </c>
      <c r="K80" s="134" t="str">
        <f>IF(J80="INS25",J80&amp;TEXT(COUNTIF($J$2:J80,"INS25"),"000"),IF(J80="C",J80&amp;TEXT(COUNTIF($J$2:J80,"C"),"000"),IF(J80="R",J80&amp;TEXT(COUNTIF($J$2:J80,"R"),"000"),IF(J80="A",J80&amp;TEXT(COUNTIF($J$2:J80,"A"),"000"),IF(J80="F",J80&amp;TEXT(COUNTIF($J$2:J80,"F"),"000"),IF(J80="M",J80&amp;TEXT(COUNTIF($J$2:J80,"M"),"000"),IF(J80="INS26",J80&amp;TEXT(COUNTIF($J$2:J80,"INS26"),"000"),"")))))))</f>
        <v/>
      </c>
    </row>
    <row r="81" spans="1:11" ht="15.75" customHeight="1">
      <c r="A81" s="135" t="str">
        <f t="shared" si="7"/>
        <v/>
      </c>
      <c r="B81" s="136"/>
      <c r="C81" s="5" t="str">
        <f t="shared" si="0"/>
        <v/>
      </c>
      <c r="D81" s="137"/>
      <c r="E81" s="5" t="str">
        <f t="shared" si="10"/>
        <v/>
      </c>
      <c r="F81" s="5" t="str">
        <f t="shared" si="11"/>
        <v/>
      </c>
      <c r="G81" s="138"/>
      <c r="H81" s="6" t="str">
        <f t="shared" si="6"/>
        <v/>
      </c>
      <c r="I81" s="139"/>
      <c r="J81" s="106" t="str">
        <f t="shared" si="9"/>
        <v/>
      </c>
      <c r="K81" s="134" t="str">
        <f>IF(J81="INS25",J81&amp;TEXT(COUNTIF($J$2:J81,"INS25"),"000"),IF(J81="C",J81&amp;TEXT(COUNTIF($J$2:J81,"C"),"000"),IF(J81="R",J81&amp;TEXT(COUNTIF($J$2:J81,"R"),"000"),IF(J81="A",J81&amp;TEXT(COUNTIF($J$2:J81,"A"),"000"),IF(J81="F",J81&amp;TEXT(COUNTIF($J$2:J81,"F"),"000"),IF(J81="M",J81&amp;TEXT(COUNTIF($J$2:J81,"M"),"000"),IF(J81="INS26",J81&amp;TEXT(COUNTIF($J$2:J81,"INS26"),"000"),"")))))))</f>
        <v/>
      </c>
    </row>
    <row r="82" spans="1:11" ht="15.75" customHeight="1">
      <c r="A82" s="135" t="str">
        <f t="shared" si="7"/>
        <v/>
      </c>
      <c r="B82" s="136"/>
      <c r="C82" s="5" t="str">
        <f t="shared" si="0"/>
        <v/>
      </c>
      <c r="D82" s="137"/>
      <c r="E82" s="5" t="str">
        <f t="shared" si="10"/>
        <v/>
      </c>
      <c r="F82" s="5" t="str">
        <f t="shared" si="11"/>
        <v/>
      </c>
      <c r="G82" s="138"/>
      <c r="H82" s="6" t="str">
        <f t="shared" si="6"/>
        <v/>
      </c>
      <c r="I82" s="139"/>
      <c r="J82" s="106" t="str">
        <f t="shared" si="9"/>
        <v/>
      </c>
      <c r="K82" s="134" t="str">
        <f>IF(J82="INS25",J82&amp;TEXT(COUNTIF($J$2:J82,"INS25"),"000"),IF(J82="C",J82&amp;TEXT(COUNTIF($J$2:J82,"C"),"000"),IF(J82="R",J82&amp;TEXT(COUNTIF($J$2:J82,"R"),"000"),IF(J82="A",J82&amp;TEXT(COUNTIF($J$2:J82,"A"),"000"),IF(J82="F",J82&amp;TEXT(COUNTIF($J$2:J82,"F"),"000"),IF(J82="M",J82&amp;TEXT(COUNTIF($J$2:J82,"M"),"000"),IF(J82="INS26",J82&amp;TEXT(COUNTIF($J$2:J82,"INS26"),"000"),"")))))))</f>
        <v/>
      </c>
    </row>
    <row r="83" spans="1:11" ht="15.75" customHeight="1">
      <c r="A83" s="135" t="str">
        <f t="shared" si="7"/>
        <v/>
      </c>
      <c r="B83" s="136"/>
      <c r="C83" s="5" t="str">
        <f t="shared" si="0"/>
        <v/>
      </c>
      <c r="D83" s="137"/>
      <c r="E83" s="5" t="str">
        <f t="shared" ref="E83:E193" si="12">IF(B83="","",WEEKNUM(B83,21))</f>
        <v/>
      </c>
      <c r="F83" s="5" t="str">
        <f t="shared" si="11"/>
        <v/>
      </c>
      <c r="G83" s="138"/>
      <c r="H83" s="6" t="str">
        <f t="shared" si="6"/>
        <v/>
      </c>
      <c r="I83" s="139"/>
      <c r="J83" s="106" t="str">
        <f t="shared" si="9"/>
        <v/>
      </c>
      <c r="K83" s="134" t="str">
        <f>IF(J83="INS25",J83&amp;TEXT(COUNTIF($J$2:J83,"INS25"),"000"),IF(J83="C",J83&amp;TEXT(COUNTIF($J$2:J83,"C"),"000"),IF(J83="R",J83&amp;TEXT(COUNTIF($J$2:J83,"R"),"000"),IF(J83="A",J83&amp;TEXT(COUNTIF($J$2:J83,"A"),"000"),IF(J83="F",J83&amp;TEXT(COUNTIF($J$2:J83,"F"),"000"),IF(J83="M",J83&amp;TEXT(COUNTIF($J$2:J83,"M"),"000"),IF(J83="INS26",J83&amp;TEXT(COUNTIF($J$2:J83,"INS26"),"000"),"")))))))</f>
        <v/>
      </c>
    </row>
    <row r="84" spans="1:11" ht="15.75" customHeight="1">
      <c r="A84" s="135" t="str">
        <f t="shared" si="7"/>
        <v/>
      </c>
      <c r="B84" s="136"/>
      <c r="C84" s="5" t="str">
        <f t="shared" si="0"/>
        <v/>
      </c>
      <c r="D84" s="137"/>
      <c r="E84" s="5" t="str">
        <f t="shared" si="12"/>
        <v/>
      </c>
      <c r="F84" s="5" t="str">
        <f t="shared" si="11"/>
        <v/>
      </c>
      <c r="G84" s="138"/>
      <c r="H84" s="6" t="str">
        <f t="shared" si="6"/>
        <v/>
      </c>
      <c r="I84" s="139"/>
      <c r="J84" s="106" t="str">
        <f t="shared" si="9"/>
        <v/>
      </c>
      <c r="K84" s="134" t="str">
        <f>IF(J84="INS25",J84&amp;TEXT(COUNTIF($J$2:J84,"INS25"),"000"),IF(J84="C",J84&amp;TEXT(COUNTIF($J$2:J84,"C"),"000"),IF(J84="R",J84&amp;TEXT(COUNTIF($J$2:J84,"R"),"000"),IF(J84="A",J84&amp;TEXT(COUNTIF($J$2:J84,"A"),"000"),IF(J84="F",J84&amp;TEXT(COUNTIF($J$2:J84,"F"),"000"),IF(J84="M",J84&amp;TEXT(COUNTIF($J$2:J84,"M"),"000"),IF(J84="INS26",J84&amp;TEXT(COUNTIF($J$2:J84,"INS26"),"000"),"")))))))</f>
        <v/>
      </c>
    </row>
    <row r="85" spans="1:11" ht="15.75" customHeight="1">
      <c r="A85" s="135" t="str">
        <f t="shared" si="7"/>
        <v/>
      </c>
      <c r="B85" s="136"/>
      <c r="C85" s="5" t="str">
        <f t="shared" si="0"/>
        <v/>
      </c>
      <c r="D85" s="137"/>
      <c r="E85" s="5" t="str">
        <f t="shared" si="12"/>
        <v/>
      </c>
      <c r="F85" s="5" t="str">
        <f t="shared" si="11"/>
        <v/>
      </c>
      <c r="G85" s="138"/>
      <c r="H85" s="6" t="str">
        <f t="shared" si="6"/>
        <v/>
      </c>
      <c r="I85" s="139"/>
      <c r="J85" s="106" t="str">
        <f t="shared" si="9"/>
        <v/>
      </c>
      <c r="K85" s="134" t="str">
        <f>IF(J85="INS25",J85&amp;TEXT(COUNTIF($J$2:J85,"INS25"),"000"),IF(J85="C",J85&amp;TEXT(COUNTIF($J$2:J85,"C"),"000"),IF(J85="R",J85&amp;TEXT(COUNTIF($J$2:J85,"R"),"000"),IF(J85="A",J85&amp;TEXT(COUNTIF($J$2:J85,"A"),"000"),IF(J85="F",J85&amp;TEXT(COUNTIF($J$2:J85,"F"),"000"),IF(J85="M",J85&amp;TEXT(COUNTIF($J$2:J85,"M"),"000"),IF(J85="INS26",J85&amp;TEXT(COUNTIF($J$2:J85,"INS26"),"000"),"")))))))</f>
        <v/>
      </c>
    </row>
    <row r="86" spans="1:11" ht="15.75" customHeight="1">
      <c r="A86" s="135" t="str">
        <f t="shared" si="7"/>
        <v/>
      </c>
      <c r="B86" s="136"/>
      <c r="C86" s="5" t="str">
        <f t="shared" si="0"/>
        <v/>
      </c>
      <c r="D86" s="137"/>
      <c r="E86" s="5" t="str">
        <f t="shared" si="12"/>
        <v/>
      </c>
      <c r="F86" s="5" t="str">
        <f t="shared" si="11"/>
        <v/>
      </c>
      <c r="G86" s="138"/>
      <c r="H86" s="6" t="str">
        <f t="shared" si="6"/>
        <v/>
      </c>
      <c r="I86" s="139"/>
      <c r="J86" s="106" t="str">
        <f t="shared" si="9"/>
        <v/>
      </c>
      <c r="K86" s="134" t="str">
        <f>IF(J86="INS25",J86&amp;TEXT(COUNTIF($J$2:J86,"INS25"),"000"),IF(J86="C",J86&amp;TEXT(COUNTIF($J$2:J86,"C"),"000"),IF(J86="R",J86&amp;TEXT(COUNTIF($J$2:J86,"R"),"000"),IF(J86="A",J86&amp;TEXT(COUNTIF($J$2:J86,"A"),"000"),IF(J86="F",J86&amp;TEXT(COUNTIF($J$2:J86,"F"),"000"),IF(J86="M",J86&amp;TEXT(COUNTIF($J$2:J86,"M"),"000"),IF(J86="INS26",J86&amp;TEXT(COUNTIF($J$2:J86,"INS26"),"000"),"")))))))</f>
        <v/>
      </c>
    </row>
    <row r="87" spans="1:11" ht="15.75" customHeight="1">
      <c r="A87" s="135" t="str">
        <f t="shared" si="7"/>
        <v/>
      </c>
      <c r="B87" s="136"/>
      <c r="C87" s="5" t="str">
        <f t="shared" si="0"/>
        <v/>
      </c>
      <c r="D87" s="137"/>
      <c r="E87" s="5" t="str">
        <f t="shared" si="12"/>
        <v/>
      </c>
      <c r="F87" s="5" t="str">
        <f t="shared" si="11"/>
        <v/>
      </c>
      <c r="G87" s="138"/>
      <c r="H87" s="6" t="str">
        <f t="shared" si="6"/>
        <v/>
      </c>
      <c r="I87" s="139"/>
      <c r="J87" s="106" t="str">
        <f t="shared" si="9"/>
        <v/>
      </c>
      <c r="K87" s="134" t="str">
        <f>IF(J87="INS25",J87&amp;TEXT(COUNTIF($J$2:J87,"INS25"),"000"),IF(J87="C",J87&amp;TEXT(COUNTIF($J$2:J87,"C"),"000"),IF(J87="R",J87&amp;TEXT(COUNTIF($J$2:J87,"R"),"000"),IF(J87="A",J87&amp;TEXT(COUNTIF($J$2:J87,"A"),"000"),IF(J87="F",J87&amp;TEXT(COUNTIF($J$2:J87,"F"),"000"),IF(J87="M",J87&amp;TEXT(COUNTIF($J$2:J87,"M"),"000"),IF(J87="INS26",J87&amp;TEXT(COUNTIF($J$2:J87,"INS26"),"000"),"")))))))</f>
        <v/>
      </c>
    </row>
    <row r="88" spans="1:11" ht="15.75" customHeight="1">
      <c r="A88" s="135" t="str">
        <f t="shared" si="7"/>
        <v/>
      </c>
      <c r="B88" s="136"/>
      <c r="C88" s="5" t="str">
        <f t="shared" si="0"/>
        <v/>
      </c>
      <c r="D88" s="137"/>
      <c r="E88" s="5" t="str">
        <f t="shared" si="12"/>
        <v/>
      </c>
      <c r="F88" s="5" t="str">
        <f t="shared" si="11"/>
        <v/>
      </c>
      <c r="G88" s="138"/>
      <c r="H88" s="6" t="str">
        <f t="shared" si="6"/>
        <v/>
      </c>
      <c r="I88" s="139"/>
      <c r="J88" s="106" t="str">
        <f t="shared" si="9"/>
        <v/>
      </c>
      <c r="K88" s="134" t="str">
        <f>IF(J88="INS25",J88&amp;TEXT(COUNTIF($J$2:J88,"INS25"),"000"),IF(J88="C",J88&amp;TEXT(COUNTIF($J$2:J88,"C"),"000"),IF(J88="R",J88&amp;TEXT(COUNTIF($J$2:J88,"R"),"000"),IF(J88="A",J88&amp;TEXT(COUNTIF($J$2:J88,"A"),"000"),IF(J88="F",J88&amp;TEXT(COUNTIF($J$2:J88,"F"),"000"),IF(J88="M",J88&amp;TEXT(COUNTIF($J$2:J88,"M"),"000"),IF(J88="INS26",J88&amp;TEXT(COUNTIF($J$2:J88,"INS26"),"000"),"")))))))</f>
        <v/>
      </c>
    </row>
    <row r="89" spans="1:11" ht="15.75" customHeight="1">
      <c r="A89" s="135" t="str">
        <f t="shared" si="7"/>
        <v/>
      </c>
      <c r="B89" s="136"/>
      <c r="C89" s="5" t="str">
        <f t="shared" si="0"/>
        <v/>
      </c>
      <c r="D89" s="137"/>
      <c r="E89" s="5" t="str">
        <f t="shared" si="12"/>
        <v/>
      </c>
      <c r="F89" s="5" t="str">
        <f t="shared" si="11"/>
        <v/>
      </c>
      <c r="G89" s="138"/>
      <c r="H89" s="6" t="str">
        <f t="shared" si="6"/>
        <v/>
      </c>
      <c r="I89" s="139"/>
      <c r="J89" s="106" t="str">
        <f t="shared" si="9"/>
        <v/>
      </c>
      <c r="K89" s="134" t="str">
        <f>IF(J89="INS25",J89&amp;TEXT(COUNTIF($J$2:J89,"INS25"),"000"),IF(J89="C",J89&amp;TEXT(COUNTIF($J$2:J89,"C"),"000"),IF(J89="R",J89&amp;TEXT(COUNTIF($J$2:J89,"R"),"000"),IF(J89="A",J89&amp;TEXT(COUNTIF($J$2:J89,"A"),"000"),IF(J89="F",J89&amp;TEXT(COUNTIF($J$2:J89,"F"),"000"),IF(J89="M",J89&amp;TEXT(COUNTIF($J$2:J89,"M"),"000"),IF(J89="INS26",J89&amp;TEXT(COUNTIF($J$2:J89,"INS26"),"000"),"")))))))</f>
        <v/>
      </c>
    </row>
    <row r="90" spans="1:11" ht="15.75" customHeight="1">
      <c r="A90" s="135" t="str">
        <f t="shared" si="7"/>
        <v/>
      </c>
      <c r="B90" s="136"/>
      <c r="C90" s="5" t="str">
        <f t="shared" si="0"/>
        <v/>
      </c>
      <c r="D90" s="137"/>
      <c r="E90" s="5" t="str">
        <f t="shared" si="12"/>
        <v/>
      </c>
      <c r="F90" s="5" t="str">
        <f t="shared" si="11"/>
        <v/>
      </c>
      <c r="G90" s="138"/>
      <c r="H90" s="6" t="str">
        <f t="shared" si="6"/>
        <v/>
      </c>
      <c r="I90" s="139"/>
      <c r="J90" s="106" t="str">
        <f t="shared" si="9"/>
        <v/>
      </c>
      <c r="K90" s="134" t="str">
        <f>IF(J90="INS25",J90&amp;TEXT(COUNTIF($J$2:J90,"INS25"),"000"),IF(J90="C",J90&amp;TEXT(COUNTIF($J$2:J90,"C"),"000"),IF(J90="R",J90&amp;TEXT(COUNTIF($J$2:J90,"R"),"000"),IF(J90="A",J90&amp;TEXT(COUNTIF($J$2:J90,"A"),"000"),IF(J90="F",J90&amp;TEXT(COUNTIF($J$2:J90,"F"),"000"),IF(J90="M",J90&amp;TEXT(COUNTIF($J$2:J90,"M"),"000"),IF(J90="INS26",J90&amp;TEXT(COUNTIF($J$2:J90,"INS26"),"000"),"")))))))</f>
        <v/>
      </c>
    </row>
    <row r="91" spans="1:11" ht="15.75" customHeight="1">
      <c r="A91" s="135" t="str">
        <f t="shared" si="7"/>
        <v/>
      </c>
      <c r="B91" s="136"/>
      <c r="C91" s="5" t="str">
        <f t="shared" si="0"/>
        <v/>
      </c>
      <c r="D91" s="137"/>
      <c r="E91" s="5" t="str">
        <f t="shared" si="12"/>
        <v/>
      </c>
      <c r="F91" s="5" t="str">
        <f t="shared" si="11"/>
        <v/>
      </c>
      <c r="G91" s="138"/>
      <c r="H91" s="6" t="str">
        <f t="shared" si="6"/>
        <v/>
      </c>
      <c r="I91" s="139"/>
      <c r="J91" s="106" t="str">
        <f t="shared" si="9"/>
        <v/>
      </c>
      <c r="K91" s="134" t="str">
        <f>IF(J91="INS25",J91&amp;TEXT(COUNTIF($J$2:J91,"INS25"),"000"),IF(J91="C",J91&amp;TEXT(COUNTIF($J$2:J91,"C"),"000"),IF(J91="R",J91&amp;TEXT(COUNTIF($J$2:J91,"R"),"000"),IF(J91="A",J91&amp;TEXT(COUNTIF($J$2:J91,"A"),"000"),IF(J91="F",J91&amp;TEXT(COUNTIF($J$2:J91,"F"),"000"),IF(J91="M",J91&amp;TEXT(COUNTIF($J$2:J91,"M"),"000"),IF(J91="INS26",J91&amp;TEXT(COUNTIF($J$2:J91,"INS26"),"000"),"")))))))</f>
        <v/>
      </c>
    </row>
    <row r="92" spans="1:11" ht="15.75" customHeight="1">
      <c r="A92" s="135" t="str">
        <f t="shared" si="7"/>
        <v/>
      </c>
      <c r="B92" s="136"/>
      <c r="C92" s="5" t="str">
        <f t="shared" si="0"/>
        <v/>
      </c>
      <c r="D92" s="137"/>
      <c r="E92" s="5" t="str">
        <f t="shared" si="12"/>
        <v/>
      </c>
      <c r="F92" s="5" t="str">
        <f t="shared" si="11"/>
        <v/>
      </c>
      <c r="G92" s="138"/>
      <c r="H92" s="6" t="str">
        <f t="shared" si="6"/>
        <v/>
      </c>
      <c r="I92" s="139"/>
      <c r="J92" s="106" t="str">
        <f t="shared" si="9"/>
        <v/>
      </c>
      <c r="K92" s="134" t="str">
        <f>IF(J92="INS25",J92&amp;TEXT(COUNTIF($J$2:J92,"INS25"),"000"),IF(J92="C",J92&amp;TEXT(COUNTIF($J$2:J92,"C"),"000"),IF(J92="R",J92&amp;TEXT(COUNTIF($J$2:J92,"R"),"000"),IF(J92="A",J92&amp;TEXT(COUNTIF($J$2:J92,"A"),"000"),IF(J92="F",J92&amp;TEXT(COUNTIF($J$2:J92,"F"),"000"),IF(J92="M",J92&amp;TEXT(COUNTIF($J$2:J92,"M"),"000"),IF(J92="INS26",J92&amp;TEXT(COUNTIF($J$2:J92,"INS26"),"000"),"")))))))</f>
        <v/>
      </c>
    </row>
    <row r="93" spans="1:11" ht="15.75" customHeight="1">
      <c r="A93" s="135" t="str">
        <f t="shared" si="7"/>
        <v/>
      </c>
      <c r="B93" s="136"/>
      <c r="C93" s="5" t="str">
        <f t="shared" si="0"/>
        <v/>
      </c>
      <c r="D93" s="137"/>
      <c r="E93" s="5" t="str">
        <f t="shared" si="12"/>
        <v/>
      </c>
      <c r="F93" s="5" t="str">
        <f t="shared" si="11"/>
        <v/>
      </c>
      <c r="G93" s="138"/>
      <c r="H93" s="6" t="str">
        <f t="shared" si="6"/>
        <v/>
      </c>
      <c r="I93" s="139"/>
      <c r="J93" s="106" t="str">
        <f t="shared" si="9"/>
        <v/>
      </c>
      <c r="K93" s="134" t="str">
        <f>IF(J93="INS25",J93&amp;TEXT(COUNTIF($J$2:J93,"INS25"),"000"),IF(J93="C",J93&amp;TEXT(COUNTIF($J$2:J93,"C"),"000"),IF(J93="R",J93&amp;TEXT(COUNTIF($J$2:J93,"R"),"000"),IF(J93="A",J93&amp;TEXT(COUNTIF($J$2:J93,"A"),"000"),IF(J93="F",J93&amp;TEXT(COUNTIF($J$2:J93,"F"),"000"),IF(J93="M",J93&amp;TEXT(COUNTIF($J$2:J93,"M"),"000"),IF(J93="INS26",J93&amp;TEXT(COUNTIF($J$2:J93,"INS26"),"000"),"")))))))</f>
        <v/>
      </c>
    </row>
    <row r="94" spans="1:11" ht="15.75" customHeight="1">
      <c r="A94" s="135" t="str">
        <f t="shared" si="7"/>
        <v/>
      </c>
      <c r="B94" s="136"/>
      <c r="C94" s="5" t="str">
        <f t="shared" si="0"/>
        <v/>
      </c>
      <c r="D94" s="137"/>
      <c r="E94" s="5" t="str">
        <f t="shared" si="12"/>
        <v/>
      </c>
      <c r="F94" s="5" t="str">
        <f t="shared" si="11"/>
        <v/>
      </c>
      <c r="G94" s="138"/>
      <c r="H94" s="6" t="str">
        <f t="shared" si="6"/>
        <v/>
      </c>
      <c r="I94" s="139"/>
      <c r="J94" s="106" t="str">
        <f t="shared" si="9"/>
        <v/>
      </c>
      <c r="K94" s="134" t="str">
        <f>IF(J94="INS25",J94&amp;TEXT(COUNTIF($J$2:J94,"INS25"),"000"),IF(J94="C",J94&amp;TEXT(COUNTIF($J$2:J94,"C"),"000"),IF(J94="R",J94&amp;TEXT(COUNTIF($J$2:J94,"R"),"000"),IF(J94="A",J94&amp;TEXT(COUNTIF($J$2:J94,"A"),"000"),IF(J94="F",J94&amp;TEXT(COUNTIF($J$2:J94,"F"),"000"),IF(J94="M",J94&amp;TEXT(COUNTIF($J$2:J94,"M"),"000"),IF(J94="INS26",J94&amp;TEXT(COUNTIF($J$2:J94,"INS26"),"000"),"")))))))</f>
        <v/>
      </c>
    </row>
    <row r="95" spans="1:11" ht="15.75" customHeight="1">
      <c r="A95" s="135" t="str">
        <f t="shared" si="7"/>
        <v/>
      </c>
      <c r="B95" s="136"/>
      <c r="C95" s="5" t="str">
        <f t="shared" si="0"/>
        <v/>
      </c>
      <c r="D95" s="137"/>
      <c r="E95" s="5" t="str">
        <f t="shared" si="12"/>
        <v/>
      </c>
      <c r="F95" s="5" t="str">
        <f t="shared" si="11"/>
        <v/>
      </c>
      <c r="G95" s="138"/>
      <c r="H95" s="6" t="str">
        <f t="shared" si="6"/>
        <v/>
      </c>
      <c r="I95" s="139"/>
      <c r="J95" s="106" t="str">
        <f t="shared" si="9"/>
        <v/>
      </c>
      <c r="K95" s="134" t="str">
        <f>IF(J95="INS25",J95&amp;TEXT(COUNTIF($J$2:J95,"INS25"),"000"),IF(J95="C",J95&amp;TEXT(COUNTIF($J$2:J95,"C"),"000"),IF(J95="R",J95&amp;TEXT(COUNTIF($J$2:J95,"R"),"000"),IF(J95="A",J95&amp;TEXT(COUNTIF($J$2:J95,"A"),"000"),IF(J95="F",J95&amp;TEXT(COUNTIF($J$2:J95,"F"),"000"),IF(J95="M",J95&amp;TEXT(COUNTIF($J$2:J95,"M"),"000"),IF(J95="INS26",J95&amp;TEXT(COUNTIF($J$2:J95,"INS26"),"000"),"")))))))</f>
        <v/>
      </c>
    </row>
    <row r="96" spans="1:11" ht="15.75" customHeight="1">
      <c r="A96" s="135" t="str">
        <f t="shared" si="7"/>
        <v/>
      </c>
      <c r="B96" s="136"/>
      <c r="C96" s="5" t="str">
        <f t="shared" si="0"/>
        <v/>
      </c>
      <c r="D96" s="137"/>
      <c r="E96" s="5" t="str">
        <f t="shared" si="12"/>
        <v/>
      </c>
      <c r="F96" s="5" t="str">
        <f t="shared" si="11"/>
        <v/>
      </c>
      <c r="G96" s="138"/>
      <c r="H96" s="6" t="str">
        <f t="shared" si="6"/>
        <v/>
      </c>
      <c r="I96" s="139"/>
      <c r="J96" s="106" t="str">
        <f t="shared" si="9"/>
        <v/>
      </c>
      <c r="K96" s="134" t="str">
        <f>IF(J96="INS25",J96&amp;TEXT(COUNTIF($J$2:J96,"INS25"),"000"),IF(J96="C",J96&amp;TEXT(COUNTIF($J$2:J96,"C"),"000"),IF(J96="R",J96&amp;TEXT(COUNTIF($J$2:J96,"R"),"000"),IF(J96="A",J96&amp;TEXT(COUNTIF($J$2:J96,"A"),"000"),IF(J96="F",J96&amp;TEXT(COUNTIF($J$2:J96,"F"),"000"),IF(J96="M",J96&amp;TEXT(COUNTIF($J$2:J96,"M"),"000"),IF(J96="INS26",J96&amp;TEXT(COUNTIF($J$2:J96,"INS26"),"000"),"")))))))</f>
        <v/>
      </c>
    </row>
    <row r="97" spans="1:11" ht="15.75" customHeight="1">
      <c r="A97" s="135" t="str">
        <f t="shared" si="7"/>
        <v/>
      </c>
      <c r="B97" s="136"/>
      <c r="C97" s="5" t="str">
        <f t="shared" si="0"/>
        <v/>
      </c>
      <c r="D97" s="137"/>
      <c r="E97" s="5" t="str">
        <f t="shared" si="12"/>
        <v/>
      </c>
      <c r="F97" s="5" t="str">
        <f t="shared" si="11"/>
        <v/>
      </c>
      <c r="G97" s="138"/>
      <c r="H97" s="6" t="str">
        <f t="shared" si="6"/>
        <v/>
      </c>
      <c r="I97" s="139"/>
      <c r="J97" s="106" t="str">
        <f t="shared" si="9"/>
        <v/>
      </c>
      <c r="K97" s="134" t="str">
        <f>IF(J97="INS25",J97&amp;TEXT(COUNTIF($J$2:J97,"INS25"),"000"),IF(J97="C",J97&amp;TEXT(COUNTIF($J$2:J97,"C"),"000"),IF(J97="R",J97&amp;TEXT(COUNTIF($J$2:J97,"R"),"000"),IF(J97="A",J97&amp;TEXT(COUNTIF($J$2:J97,"A"),"000"),IF(J97="F",J97&amp;TEXT(COUNTIF($J$2:J97,"F"),"000"),IF(J97="M",J97&amp;TEXT(COUNTIF($J$2:J97,"M"),"000"),IF(J97="INS26",J97&amp;TEXT(COUNTIF($J$2:J97,"INS26"),"000"),"")))))))</f>
        <v/>
      </c>
    </row>
    <row r="98" spans="1:11" ht="15.75" customHeight="1">
      <c r="A98" s="135" t="str">
        <f t="shared" si="7"/>
        <v/>
      </c>
      <c r="B98" s="136"/>
      <c r="C98" s="5" t="str">
        <f t="shared" si="0"/>
        <v/>
      </c>
      <c r="D98" s="137"/>
      <c r="E98" s="5" t="str">
        <f t="shared" si="12"/>
        <v/>
      </c>
      <c r="F98" s="5" t="str">
        <f t="shared" si="11"/>
        <v/>
      </c>
      <c r="G98" s="138"/>
      <c r="H98" s="6" t="str">
        <f t="shared" si="6"/>
        <v/>
      </c>
      <c r="I98" s="139"/>
      <c r="J98" s="106" t="str">
        <f t="shared" si="9"/>
        <v/>
      </c>
      <c r="K98" s="134" t="str">
        <f>IF(J98="INS25",J98&amp;TEXT(COUNTIF($J$2:J98,"INS25"),"000"),IF(J98="C",J98&amp;TEXT(COUNTIF($J$2:J98,"C"),"000"),IF(J98="R",J98&amp;TEXT(COUNTIF($J$2:J98,"R"),"000"),IF(J98="A",J98&amp;TEXT(COUNTIF($J$2:J98,"A"),"000"),IF(J98="F",J98&amp;TEXT(COUNTIF($J$2:J98,"F"),"000"),IF(J98="M",J98&amp;TEXT(COUNTIF($J$2:J98,"M"),"000"),IF(J98="INS26",J98&amp;TEXT(COUNTIF($J$2:J98,"INS26"),"000"),"")))))))</f>
        <v/>
      </c>
    </row>
    <row r="99" spans="1:11" ht="15.75" customHeight="1">
      <c r="A99" s="135" t="str">
        <f t="shared" si="7"/>
        <v/>
      </c>
      <c r="B99" s="136"/>
      <c r="C99" s="5" t="str">
        <f t="shared" si="0"/>
        <v/>
      </c>
      <c r="D99" s="137"/>
      <c r="E99" s="5" t="str">
        <f t="shared" si="12"/>
        <v/>
      </c>
      <c r="F99" s="5" t="str">
        <f t="shared" si="11"/>
        <v/>
      </c>
      <c r="G99" s="138"/>
      <c r="H99" s="6" t="str">
        <f t="shared" si="6"/>
        <v/>
      </c>
      <c r="I99" s="139"/>
      <c r="J99" s="106" t="str">
        <f t="shared" si="9"/>
        <v/>
      </c>
      <c r="K99" s="134" t="str">
        <f>IF(J99="INS25",J99&amp;TEXT(COUNTIF($J$2:J99,"INS25"),"000"),IF(J99="C",J99&amp;TEXT(COUNTIF($J$2:J99,"C"),"000"),IF(J99="R",J99&amp;TEXT(COUNTIF($J$2:J99,"R"),"000"),IF(J99="A",J99&amp;TEXT(COUNTIF($J$2:J99,"A"),"000"),IF(J99="F",J99&amp;TEXT(COUNTIF($J$2:J99,"F"),"000"),IF(J99="M",J99&amp;TEXT(COUNTIF($J$2:J99,"M"),"000"),IF(J99="INS26",J99&amp;TEXT(COUNTIF($J$2:J99,"INS26"),"000"),"")))))))</f>
        <v/>
      </c>
    </row>
    <row r="100" spans="1:11" ht="15.75" customHeight="1">
      <c r="A100" s="135" t="str">
        <f t="shared" si="7"/>
        <v/>
      </c>
      <c r="B100" s="136"/>
      <c r="C100" s="5" t="str">
        <f t="shared" si="0"/>
        <v/>
      </c>
      <c r="D100" s="137"/>
      <c r="E100" s="5" t="str">
        <f t="shared" si="12"/>
        <v/>
      </c>
      <c r="F100" s="5" t="str">
        <f t="shared" si="11"/>
        <v/>
      </c>
      <c r="G100" s="138"/>
      <c r="H100" s="6" t="str">
        <f t="shared" si="6"/>
        <v/>
      </c>
      <c r="I100" s="139"/>
      <c r="J100" s="106" t="str">
        <f t="shared" si="9"/>
        <v/>
      </c>
      <c r="K100" s="134" t="str">
        <f>IF(J100="INS25",J100&amp;TEXT(COUNTIF($J$2:J100,"INS25"),"000"),IF(J100="C",J100&amp;TEXT(COUNTIF($J$2:J100,"C"),"000"),IF(J100="R",J100&amp;TEXT(COUNTIF($J$2:J100,"R"),"000"),IF(J100="A",J100&amp;TEXT(COUNTIF($J$2:J100,"A"),"000"),IF(J100="F",J100&amp;TEXT(COUNTIF($J$2:J100,"F"),"000"),IF(J100="M",J100&amp;TEXT(COUNTIF($J$2:J100,"M"),"000"),IF(J100="INS26",J100&amp;TEXT(COUNTIF($J$2:J100,"INS26"),"000"),"")))))))</f>
        <v/>
      </c>
    </row>
    <row r="101" spans="1:11" ht="15.75" customHeight="1">
      <c r="A101" s="135" t="str">
        <f t="shared" si="7"/>
        <v/>
      </c>
      <c r="B101" s="136"/>
      <c r="C101" s="5" t="str">
        <f t="shared" si="0"/>
        <v/>
      </c>
      <c r="D101" s="137"/>
      <c r="E101" s="5" t="str">
        <f t="shared" si="12"/>
        <v/>
      </c>
      <c r="F101" s="5" t="str">
        <f t="shared" si="11"/>
        <v/>
      </c>
      <c r="G101" s="138"/>
      <c r="H101" s="6" t="str">
        <f t="shared" si="6"/>
        <v/>
      </c>
      <c r="I101" s="139"/>
      <c r="J101" s="106" t="str">
        <f t="shared" si="9"/>
        <v/>
      </c>
      <c r="K101" s="134" t="str">
        <f>IF(J101="INS25",J101&amp;TEXT(COUNTIF($J$2:J101,"INS25"),"000"),IF(J101="C",J101&amp;TEXT(COUNTIF($J$2:J101,"C"),"000"),IF(J101="R",J101&amp;TEXT(COUNTIF($J$2:J101,"R"),"000"),IF(J101="A",J101&amp;TEXT(COUNTIF($J$2:J101,"A"),"000"),IF(J101="F",J101&amp;TEXT(COUNTIF($J$2:J101,"F"),"000"),IF(J101="M",J101&amp;TEXT(COUNTIF($J$2:J101,"M"),"000"),IF(J101="INS26",J101&amp;TEXT(COUNTIF($J$2:J101,"INS26"),"000"),"")))))))</f>
        <v/>
      </c>
    </row>
    <row r="102" spans="1:11" ht="15.75" customHeight="1">
      <c r="A102" s="135" t="str">
        <f t="shared" si="7"/>
        <v/>
      </c>
      <c r="B102" s="136"/>
      <c r="C102" s="5" t="str">
        <f t="shared" si="0"/>
        <v/>
      </c>
      <c r="D102" s="137"/>
      <c r="E102" s="5" t="str">
        <f t="shared" si="12"/>
        <v/>
      </c>
      <c r="F102" s="5" t="str">
        <f t="shared" si="11"/>
        <v/>
      </c>
      <c r="G102" s="138"/>
      <c r="H102" s="6" t="str">
        <f t="shared" si="6"/>
        <v/>
      </c>
      <c r="I102" s="139"/>
      <c r="J102" s="106" t="str">
        <f t="shared" si="9"/>
        <v/>
      </c>
      <c r="K102" s="134" t="str">
        <f>IF(J102="INS25",J102&amp;TEXT(COUNTIF($J$2:J102,"INS25"),"000"),IF(J102="C",J102&amp;TEXT(COUNTIF($J$2:J102,"C"),"000"),IF(J102="R",J102&amp;TEXT(COUNTIF($J$2:J102,"R"),"000"),IF(J102="A",J102&amp;TEXT(COUNTIF($J$2:J102,"A"),"000"),IF(J102="F",J102&amp;TEXT(COUNTIF($J$2:J102,"F"),"000"),IF(J102="M",J102&amp;TEXT(COUNTIF($J$2:J102,"M"),"000"),IF(J102="INS26",J102&amp;TEXT(COUNTIF($J$2:J102,"INS26"),"000"),"")))))))</f>
        <v/>
      </c>
    </row>
    <row r="103" spans="1:11" ht="15.75" customHeight="1">
      <c r="A103" s="135" t="str">
        <f t="shared" si="7"/>
        <v/>
      </c>
      <c r="B103" s="136"/>
      <c r="C103" s="5" t="str">
        <f t="shared" si="0"/>
        <v/>
      </c>
      <c r="D103" s="137"/>
      <c r="E103" s="5" t="str">
        <f t="shared" si="12"/>
        <v/>
      </c>
      <c r="F103" s="5" t="str">
        <f t="shared" si="11"/>
        <v/>
      </c>
      <c r="G103" s="138"/>
      <c r="H103" s="6" t="str">
        <f t="shared" si="6"/>
        <v/>
      </c>
      <c r="I103" s="139"/>
      <c r="J103" s="106" t="str">
        <f t="shared" si="9"/>
        <v/>
      </c>
      <c r="K103" s="134" t="str">
        <f>IF(J103="INS25",J103&amp;TEXT(COUNTIF($J$2:J103,"INS25"),"000"),IF(J103="C",J103&amp;TEXT(COUNTIF($J$2:J103,"C"),"000"),IF(J103="R",J103&amp;TEXT(COUNTIF($J$2:J103,"R"),"000"),IF(J103="A",J103&amp;TEXT(COUNTIF($J$2:J103,"A"),"000"),IF(J103="F",J103&amp;TEXT(COUNTIF($J$2:J103,"F"),"000"),IF(J103="M",J103&amp;TEXT(COUNTIF($J$2:J103,"M"),"000"),IF(J103="INS26",J103&amp;TEXT(COUNTIF($J$2:J103,"INS26"),"000"),"")))))))</f>
        <v/>
      </c>
    </row>
    <row r="104" spans="1:11" ht="15.75" customHeight="1">
      <c r="A104" s="135" t="str">
        <f t="shared" si="7"/>
        <v/>
      </c>
      <c r="B104" s="136"/>
      <c r="C104" s="5" t="str">
        <f t="shared" si="0"/>
        <v/>
      </c>
      <c r="D104" s="137"/>
      <c r="E104" s="5" t="str">
        <f t="shared" si="12"/>
        <v/>
      </c>
      <c r="F104" s="5" t="str">
        <f t="shared" si="11"/>
        <v/>
      </c>
      <c r="G104" s="138"/>
      <c r="H104" s="6" t="str">
        <f t="shared" si="6"/>
        <v/>
      </c>
      <c r="I104" s="139"/>
      <c r="J104" s="106" t="str">
        <f t="shared" si="9"/>
        <v/>
      </c>
      <c r="K104" s="134" t="str">
        <f>IF(J104="INS25",J104&amp;TEXT(COUNTIF($J$2:J104,"INS25"),"000"),IF(J104="C",J104&amp;TEXT(COUNTIF($J$2:J104,"C"),"000"),IF(J104="R",J104&amp;TEXT(COUNTIF($J$2:J104,"R"),"000"),IF(J104="A",J104&amp;TEXT(COUNTIF($J$2:J104,"A"),"000"),IF(J104="F",J104&amp;TEXT(COUNTIF($J$2:J104,"F"),"000"),IF(J104="M",J104&amp;TEXT(COUNTIF($J$2:J104,"M"),"000"),IF(J104="INS26",J104&amp;TEXT(COUNTIF($J$2:J104,"INS26"),"000"),"")))))))</f>
        <v/>
      </c>
    </row>
    <row r="105" spans="1:11" ht="15.75" customHeight="1">
      <c r="A105" s="135" t="str">
        <f t="shared" si="7"/>
        <v/>
      </c>
      <c r="B105" s="136"/>
      <c r="C105" s="5" t="str">
        <f t="shared" si="0"/>
        <v/>
      </c>
      <c r="D105" s="137"/>
      <c r="E105" s="5" t="str">
        <f t="shared" si="12"/>
        <v/>
      </c>
      <c r="F105" s="5" t="str">
        <f t="shared" si="11"/>
        <v/>
      </c>
      <c r="G105" s="138"/>
      <c r="H105" s="6" t="str">
        <f t="shared" si="6"/>
        <v/>
      </c>
      <c r="I105" s="139"/>
      <c r="J105" s="106" t="str">
        <f t="shared" si="9"/>
        <v/>
      </c>
      <c r="K105" s="134" t="str">
        <f>IF(J105="INS25",J105&amp;TEXT(COUNTIF($J$2:J105,"INS25"),"000"),IF(J105="C",J105&amp;TEXT(COUNTIF($J$2:J105,"C"),"000"),IF(J105="R",J105&amp;TEXT(COUNTIF($J$2:J105,"R"),"000"),IF(J105="A",J105&amp;TEXT(COUNTIF($J$2:J105,"A"),"000"),IF(J105="F",J105&amp;TEXT(COUNTIF($J$2:J105,"F"),"000"),IF(J105="M",J105&amp;TEXT(COUNTIF($J$2:J105,"M"),"000"),IF(J105="INS26",J105&amp;TEXT(COUNTIF($J$2:J105,"INS26"),"000"),"")))))))</f>
        <v/>
      </c>
    </row>
    <row r="106" spans="1:11" ht="15.75" customHeight="1">
      <c r="A106" s="135" t="str">
        <f t="shared" si="7"/>
        <v/>
      </c>
      <c r="B106" s="136"/>
      <c r="C106" s="5" t="str">
        <f t="shared" si="0"/>
        <v/>
      </c>
      <c r="D106" s="137"/>
      <c r="E106" s="5" t="str">
        <f t="shared" si="12"/>
        <v/>
      </c>
      <c r="F106" s="5" t="str">
        <f t="shared" si="11"/>
        <v/>
      </c>
      <c r="G106" s="138"/>
      <c r="H106" s="6" t="str">
        <f t="shared" si="6"/>
        <v/>
      </c>
      <c r="I106" s="139"/>
      <c r="J106" s="106" t="str">
        <f t="shared" si="9"/>
        <v/>
      </c>
      <c r="K106" s="134" t="str">
        <f>IF(J106="INS25",J106&amp;TEXT(COUNTIF($J$2:J106,"INS25"),"000"),IF(J106="C",J106&amp;TEXT(COUNTIF($J$2:J106,"C"),"000"),IF(J106="R",J106&amp;TEXT(COUNTIF($J$2:J106,"R"),"000"),IF(J106="A",J106&amp;TEXT(COUNTIF($J$2:J106,"A"),"000"),IF(J106="F",J106&amp;TEXT(COUNTIF($J$2:J106,"F"),"000"),IF(J106="M",J106&amp;TEXT(COUNTIF($J$2:J106,"M"),"000"),IF(J106="INS26",J106&amp;TEXT(COUNTIF($J$2:J106,"INS26"),"000"),"")))))))</f>
        <v/>
      </c>
    </row>
    <row r="107" spans="1:11" ht="15.75" customHeight="1">
      <c r="A107" s="135" t="str">
        <f t="shared" si="7"/>
        <v/>
      </c>
      <c r="B107" s="136"/>
      <c r="C107" s="5" t="str">
        <f t="shared" si="0"/>
        <v/>
      </c>
      <c r="D107" s="137"/>
      <c r="E107" s="5" t="str">
        <f t="shared" si="12"/>
        <v/>
      </c>
      <c r="F107" s="5" t="str">
        <f t="shared" si="11"/>
        <v/>
      </c>
      <c r="G107" s="138"/>
      <c r="H107" s="6" t="str">
        <f t="shared" si="6"/>
        <v/>
      </c>
      <c r="I107" s="139"/>
      <c r="J107" s="106" t="str">
        <f t="shared" si="9"/>
        <v/>
      </c>
      <c r="K107" s="134" t="str">
        <f>IF(J107="INS25",J107&amp;TEXT(COUNTIF($J$2:J107,"INS25"),"000"),IF(J107="C",J107&amp;TEXT(COUNTIF($J$2:J107,"C"),"000"),IF(J107="R",J107&amp;TEXT(COUNTIF($J$2:J107,"R"),"000"),IF(J107="A",J107&amp;TEXT(COUNTIF($J$2:J107,"A"),"000"),IF(J107="F",J107&amp;TEXT(COUNTIF($J$2:J107,"F"),"000"),IF(J107="M",J107&amp;TEXT(COUNTIF($J$2:J107,"M"),"000"),IF(J107="INS26",J107&amp;TEXT(COUNTIF($J$2:J107,"INS26"),"000"),"")))))))</f>
        <v/>
      </c>
    </row>
    <row r="108" spans="1:11" ht="15.75" customHeight="1">
      <c r="A108" s="135" t="str">
        <f t="shared" si="7"/>
        <v/>
      </c>
      <c r="B108" s="136"/>
      <c r="C108" s="5" t="str">
        <f t="shared" si="0"/>
        <v/>
      </c>
      <c r="D108" s="137"/>
      <c r="E108" s="5" t="str">
        <f t="shared" si="12"/>
        <v/>
      </c>
      <c r="F108" s="5" t="str">
        <f t="shared" si="11"/>
        <v/>
      </c>
      <c r="G108" s="138"/>
      <c r="H108" s="6" t="str">
        <f t="shared" si="6"/>
        <v/>
      </c>
      <c r="I108" s="139"/>
      <c r="J108" s="106" t="str">
        <f t="shared" si="9"/>
        <v/>
      </c>
      <c r="K108" s="134" t="str">
        <f>IF(J108="INS25",J108&amp;TEXT(COUNTIF($J$2:J108,"INS25"),"000"),IF(J108="C",J108&amp;TEXT(COUNTIF($J$2:J108,"C"),"000"),IF(J108="R",J108&amp;TEXT(COUNTIF($J$2:J108,"R"),"000"),IF(J108="A",J108&amp;TEXT(COUNTIF($J$2:J108,"A"),"000"),IF(J108="F",J108&amp;TEXT(COUNTIF($J$2:J108,"F"),"000"),IF(J108="M",J108&amp;TEXT(COUNTIF($J$2:J108,"M"),"000"),IF(J108="INS26",J108&amp;TEXT(COUNTIF($J$2:J108,"INS26"),"000"),"")))))))</f>
        <v/>
      </c>
    </row>
    <row r="109" spans="1:11" ht="15.75" customHeight="1">
      <c r="A109" s="135" t="str">
        <f t="shared" si="7"/>
        <v/>
      </c>
      <c r="B109" s="136"/>
      <c r="C109" s="5" t="str">
        <f t="shared" si="0"/>
        <v/>
      </c>
      <c r="D109" s="137"/>
      <c r="E109" s="5" t="str">
        <f t="shared" si="12"/>
        <v/>
      </c>
      <c r="F109" s="5" t="str">
        <f t="shared" si="11"/>
        <v/>
      </c>
      <c r="G109" s="138"/>
      <c r="H109" s="6" t="str">
        <f t="shared" si="6"/>
        <v/>
      </c>
      <c r="I109" s="139"/>
      <c r="J109" s="106" t="str">
        <f t="shared" si="9"/>
        <v/>
      </c>
      <c r="K109" s="134" t="str">
        <f>IF(J109="INS25",J109&amp;TEXT(COUNTIF($J$2:J109,"INS25"),"000"),IF(J109="C",J109&amp;TEXT(COUNTIF($J$2:J109,"C"),"000"),IF(J109="R",J109&amp;TEXT(COUNTIF($J$2:J109,"R"),"000"),IF(J109="A",J109&amp;TEXT(COUNTIF($J$2:J109,"A"),"000"),IF(J109="F",J109&amp;TEXT(COUNTIF($J$2:J109,"F"),"000"),IF(J109="M",J109&amp;TEXT(COUNTIF($J$2:J109,"M"),"000"),IF(J109="INS26",J109&amp;TEXT(COUNTIF($J$2:J109,"INS26"),"000"),"")))))))</f>
        <v/>
      </c>
    </row>
    <row r="110" spans="1:11" ht="15.75" customHeight="1">
      <c r="A110" s="135" t="str">
        <f t="shared" si="7"/>
        <v/>
      </c>
      <c r="B110" s="136"/>
      <c r="C110" s="5" t="str">
        <f t="shared" si="0"/>
        <v/>
      </c>
      <c r="D110" s="137"/>
      <c r="E110" s="5" t="str">
        <f t="shared" si="12"/>
        <v/>
      </c>
      <c r="F110" s="5" t="str">
        <f t="shared" si="11"/>
        <v/>
      </c>
      <c r="G110" s="138"/>
      <c r="H110" s="6" t="str">
        <f t="shared" si="6"/>
        <v/>
      </c>
      <c r="I110" s="139"/>
      <c r="J110" s="106" t="str">
        <f t="shared" si="9"/>
        <v/>
      </c>
      <c r="K110" s="134" t="str">
        <f>IF(J110="INS25",J110&amp;TEXT(COUNTIF($J$2:J110,"INS25"),"000"),IF(J110="C",J110&amp;TEXT(COUNTIF($J$2:J110,"C"),"000"),IF(J110="R",J110&amp;TEXT(COUNTIF($J$2:J110,"R"),"000"),IF(J110="A",J110&amp;TEXT(COUNTIF($J$2:J110,"A"),"000"),IF(J110="F",J110&amp;TEXT(COUNTIF($J$2:J110,"F"),"000"),IF(J110="M",J110&amp;TEXT(COUNTIF($J$2:J110,"M"),"000"),IF(J110="INS26",J110&amp;TEXT(COUNTIF($J$2:J110,"INS26"),"000"),"")))))))</f>
        <v/>
      </c>
    </row>
    <row r="111" spans="1:11" ht="15.75" customHeight="1">
      <c r="A111" s="135" t="str">
        <f t="shared" si="7"/>
        <v/>
      </c>
      <c r="B111" s="136"/>
      <c r="C111" s="5" t="str">
        <f t="shared" si="0"/>
        <v/>
      </c>
      <c r="D111" s="137"/>
      <c r="E111" s="5" t="str">
        <f t="shared" si="12"/>
        <v/>
      </c>
      <c r="F111" s="5" t="str">
        <f t="shared" si="11"/>
        <v/>
      </c>
      <c r="G111" s="138"/>
      <c r="H111" s="6" t="str">
        <f t="shared" si="6"/>
        <v/>
      </c>
      <c r="I111" s="139"/>
      <c r="J111" s="106" t="str">
        <f t="shared" si="9"/>
        <v/>
      </c>
      <c r="K111" s="134" t="str">
        <f>IF(J111="INS25",J111&amp;TEXT(COUNTIF($J$2:J111,"INS25"),"000"),IF(J111="C",J111&amp;TEXT(COUNTIF($J$2:J111,"C"),"000"),IF(J111="R",J111&amp;TEXT(COUNTIF($J$2:J111,"R"),"000"),IF(J111="A",J111&amp;TEXT(COUNTIF($J$2:J111,"A"),"000"),IF(J111="F",J111&amp;TEXT(COUNTIF($J$2:J111,"F"),"000"),IF(J111="M",J111&amp;TEXT(COUNTIF($J$2:J111,"M"),"000"),IF(J111="INS26",J111&amp;TEXT(COUNTIF($J$2:J111,"INS26"),"000"),"")))))))</f>
        <v/>
      </c>
    </row>
    <row r="112" spans="1:11" ht="15.75" customHeight="1">
      <c r="A112" s="135" t="str">
        <f t="shared" si="7"/>
        <v/>
      </c>
      <c r="B112" s="136"/>
      <c r="C112" s="5" t="str">
        <f t="shared" si="0"/>
        <v/>
      </c>
      <c r="D112" s="137"/>
      <c r="E112" s="5" t="str">
        <f t="shared" si="12"/>
        <v/>
      </c>
      <c r="F112" s="5" t="str">
        <f t="shared" si="11"/>
        <v/>
      </c>
      <c r="G112" s="138"/>
      <c r="H112" s="6" t="str">
        <f t="shared" si="6"/>
        <v/>
      </c>
      <c r="I112" s="139"/>
      <c r="J112" s="106" t="str">
        <f t="shared" si="9"/>
        <v/>
      </c>
      <c r="K112" s="134" t="str">
        <f>IF(J112="INS25",J112&amp;TEXT(COUNTIF($J$2:J112,"INS25"),"000"),IF(J112="C",J112&amp;TEXT(COUNTIF($J$2:J112,"C"),"000"),IF(J112="R",J112&amp;TEXT(COUNTIF($J$2:J112,"R"),"000"),IF(J112="A",J112&amp;TEXT(COUNTIF($J$2:J112,"A"),"000"),IF(J112="F",J112&amp;TEXT(COUNTIF($J$2:J112,"F"),"000"),IF(J112="M",J112&amp;TEXT(COUNTIF($J$2:J112,"M"),"000"),IF(J112="INS26",J112&amp;TEXT(COUNTIF($J$2:J112,"INS26"),"000"),"")))))))</f>
        <v/>
      </c>
    </row>
    <row r="113" spans="1:11" ht="15.75" customHeight="1">
      <c r="A113" s="135" t="str">
        <f t="shared" si="7"/>
        <v/>
      </c>
      <c r="B113" s="136"/>
      <c r="C113" s="5" t="str">
        <f t="shared" si="0"/>
        <v/>
      </c>
      <c r="D113" s="137"/>
      <c r="E113" s="5" t="str">
        <f t="shared" si="12"/>
        <v/>
      </c>
      <c r="F113" s="5" t="str">
        <f t="shared" si="11"/>
        <v/>
      </c>
      <c r="G113" s="138"/>
      <c r="H113" s="6" t="str">
        <f t="shared" si="6"/>
        <v/>
      </c>
      <c r="I113" s="139"/>
      <c r="J113" s="106" t="str">
        <f t="shared" si="9"/>
        <v/>
      </c>
      <c r="K113" s="134" t="str">
        <f>IF(J113="INS25",J113&amp;TEXT(COUNTIF($J$2:J113,"INS25"),"000"),IF(J113="C",J113&amp;TEXT(COUNTIF($J$2:J113,"C"),"000"),IF(J113="R",J113&amp;TEXT(COUNTIF($J$2:J113,"R"),"000"),IF(J113="A",J113&amp;TEXT(COUNTIF($J$2:J113,"A"),"000"),IF(J113="F",J113&amp;TEXT(COUNTIF($J$2:J113,"F"),"000"),IF(J113="M",J113&amp;TEXT(COUNTIF($J$2:J113,"M"),"000"),IF(J113="INS26",J113&amp;TEXT(COUNTIF($J$2:J113,"INS26"),"000"),"")))))))</f>
        <v/>
      </c>
    </row>
    <row r="114" spans="1:11" ht="15.75" customHeight="1">
      <c r="A114" s="135" t="str">
        <f t="shared" si="7"/>
        <v/>
      </c>
      <c r="B114" s="136"/>
      <c r="C114" s="5" t="str">
        <f t="shared" si="0"/>
        <v/>
      </c>
      <c r="D114" s="137"/>
      <c r="E114" s="5" t="str">
        <f t="shared" si="12"/>
        <v/>
      </c>
      <c r="F114" s="5" t="str">
        <f t="shared" si="11"/>
        <v/>
      </c>
      <c r="G114" s="138"/>
      <c r="H114" s="6" t="str">
        <f t="shared" si="6"/>
        <v/>
      </c>
      <c r="I114" s="139"/>
      <c r="J114" s="106" t="str">
        <f t="shared" si="9"/>
        <v/>
      </c>
      <c r="K114" s="134" t="str">
        <f>IF(J114="INS25",J114&amp;TEXT(COUNTIF($J$2:J114,"INS25"),"000"),IF(J114="C",J114&amp;TEXT(COUNTIF($J$2:J114,"C"),"000"),IF(J114="R",J114&amp;TEXT(COUNTIF($J$2:J114,"R"),"000"),IF(J114="A",J114&amp;TEXT(COUNTIF($J$2:J114,"A"),"000"),IF(J114="F",J114&amp;TEXT(COUNTIF($J$2:J114,"F"),"000"),IF(J114="M",J114&amp;TEXT(COUNTIF($J$2:J114,"M"),"000"),IF(J114="INS26",J114&amp;TEXT(COUNTIF($J$2:J114,"INS26"),"000"),"")))))))</f>
        <v/>
      </c>
    </row>
    <row r="115" spans="1:11" ht="15.75" customHeight="1">
      <c r="A115" s="135" t="str">
        <f t="shared" si="7"/>
        <v/>
      </c>
      <c r="B115" s="136"/>
      <c r="C115" s="5" t="str">
        <f t="shared" si="0"/>
        <v/>
      </c>
      <c r="D115" s="137"/>
      <c r="E115" s="5" t="str">
        <f t="shared" si="12"/>
        <v/>
      </c>
      <c r="F115" s="5" t="str">
        <f t="shared" si="11"/>
        <v/>
      </c>
      <c r="G115" s="138"/>
      <c r="H115" s="6" t="str">
        <f t="shared" si="6"/>
        <v/>
      </c>
      <c r="I115" s="139"/>
      <c r="J115" s="106" t="str">
        <f t="shared" si="9"/>
        <v/>
      </c>
      <c r="K115" s="134" t="str">
        <f>IF(J115="INS25",J115&amp;TEXT(COUNTIF($J$2:J115,"INS25"),"000"),IF(J115="C",J115&amp;TEXT(COUNTIF($J$2:J115,"C"),"000"),IF(J115="R",J115&amp;TEXT(COUNTIF($J$2:J115,"R"),"000"),IF(J115="A",J115&amp;TEXT(COUNTIF($J$2:J115,"A"),"000"),IF(J115="F",J115&amp;TEXT(COUNTIF($J$2:J115,"F"),"000"),IF(J115="M",J115&amp;TEXT(COUNTIF($J$2:J115,"M"),"000"),IF(J115="INS26",J115&amp;TEXT(COUNTIF($J$2:J115,"INS26"),"000"),"")))))))</f>
        <v/>
      </c>
    </row>
    <row r="116" spans="1:11" ht="15.75" customHeight="1">
      <c r="A116" s="135" t="str">
        <f t="shared" si="7"/>
        <v/>
      </c>
      <c r="B116" s="136"/>
      <c r="C116" s="5" t="str">
        <f t="shared" si="0"/>
        <v/>
      </c>
      <c r="D116" s="137"/>
      <c r="E116" s="5" t="str">
        <f t="shared" si="12"/>
        <v/>
      </c>
      <c r="F116" s="5" t="str">
        <f t="shared" si="11"/>
        <v/>
      </c>
      <c r="G116" s="138"/>
      <c r="H116" s="6" t="str">
        <f t="shared" si="6"/>
        <v/>
      </c>
      <c r="I116" s="139"/>
      <c r="J116" s="106" t="str">
        <f t="shared" si="9"/>
        <v/>
      </c>
      <c r="K116" s="134" t="str">
        <f>IF(J116="INS25",J116&amp;TEXT(COUNTIF($J$2:J116,"INS25"),"000"),IF(J116="C",J116&amp;TEXT(COUNTIF($J$2:J116,"C"),"000"),IF(J116="R",J116&amp;TEXT(COUNTIF($J$2:J116,"R"),"000"),IF(J116="A",J116&amp;TEXT(COUNTIF($J$2:J116,"A"),"000"),IF(J116="F",J116&amp;TEXT(COUNTIF($J$2:J116,"F"),"000"),IF(J116="M",J116&amp;TEXT(COUNTIF($J$2:J116,"M"),"000"),IF(J116="INS26",J116&amp;TEXT(COUNTIF($J$2:J116,"INS26"),"000"),"")))))))</f>
        <v/>
      </c>
    </row>
    <row r="117" spans="1:11" ht="15.75" customHeight="1">
      <c r="A117" s="135" t="str">
        <f t="shared" si="7"/>
        <v/>
      </c>
      <c r="B117" s="136"/>
      <c r="C117" s="5" t="str">
        <f t="shared" si="0"/>
        <v/>
      </c>
      <c r="D117" s="137"/>
      <c r="E117" s="5" t="str">
        <f t="shared" si="12"/>
        <v/>
      </c>
      <c r="F117" s="5" t="str">
        <f t="shared" si="11"/>
        <v/>
      </c>
      <c r="G117" s="138"/>
      <c r="H117" s="6"/>
      <c r="I117" s="139"/>
      <c r="J117" s="106" t="str">
        <f t="shared" si="9"/>
        <v/>
      </c>
      <c r="K117" s="134" t="str">
        <f>IF(J117="INS25",J117&amp;TEXT(COUNTIF($J$2:J117,"INS25"),"000"),IF(J117="C",J117&amp;TEXT(COUNTIF($J$2:J117,"C"),"000"),IF(J117="R",J117&amp;TEXT(COUNTIF($J$2:J117,"R"),"000"),IF(J117="A",J117&amp;TEXT(COUNTIF($J$2:J117,"A"),"000"),IF(J117="F",J117&amp;TEXT(COUNTIF($J$2:J117,"F"),"000"),IF(J117="M",J117&amp;TEXT(COUNTIF($J$2:J117,"M"),"000"),IF(J117="INS26",J117&amp;TEXT(COUNTIF($J$2:J117,"INS26"),"000"),"")))))))</f>
        <v/>
      </c>
    </row>
    <row r="118" spans="1:11" ht="15.75" customHeight="1">
      <c r="A118" s="135" t="str">
        <f t="shared" si="7"/>
        <v/>
      </c>
      <c r="B118" s="136"/>
      <c r="C118" s="10"/>
      <c r="D118" s="137"/>
      <c r="E118" s="5" t="str">
        <f t="shared" si="12"/>
        <v/>
      </c>
      <c r="F118" s="5" t="str">
        <f t="shared" si="11"/>
        <v/>
      </c>
      <c r="G118" s="138"/>
      <c r="H118" s="6" t="str">
        <f>IF(G118="","",CONVERTIRNUM(G118))</f>
        <v/>
      </c>
      <c r="I118" s="139"/>
      <c r="J118" s="106" t="str">
        <f t="shared" si="9"/>
        <v/>
      </c>
      <c r="K118" s="134" t="str">
        <f>IF(J118="INS25",J118&amp;TEXT(COUNTIF($J$2:J118,"INS25"),"000"),IF(J118="C",J118&amp;TEXT(COUNTIF($J$2:J118,"C"),"000"),IF(J118="R",J118&amp;TEXT(COUNTIF($J$2:J118,"R"),"000"),IF(J118="A",J118&amp;TEXT(COUNTIF($J$2:J118,"A"),"000"),IF(J118="F",J118&amp;TEXT(COUNTIF($J$2:J118,"F"),"000"),IF(J118="M",J118&amp;TEXT(COUNTIF($J$2:J118,"M"),"000"),IF(J118="INS26",J118&amp;TEXT(COUNTIF($J$2:J118,"INS26"),"000"),"")))))))</f>
        <v/>
      </c>
    </row>
    <row r="119" spans="1:11" ht="15.75" customHeight="1">
      <c r="A119" s="135" t="str">
        <f t="shared" si="7"/>
        <v/>
      </c>
      <c r="B119" s="136"/>
      <c r="C119" s="10"/>
      <c r="D119" s="137"/>
      <c r="E119" s="5" t="str">
        <f t="shared" si="12"/>
        <v/>
      </c>
      <c r="F119" s="5" t="str">
        <f t="shared" si="11"/>
        <v/>
      </c>
      <c r="G119" s="138"/>
      <c r="H119" s="6" t="str">
        <f>IF(G119="","",CONVERTIRNUM(G119))</f>
        <v/>
      </c>
      <c r="I119" s="139"/>
      <c r="J119" s="106" t="str">
        <f t="shared" si="9"/>
        <v/>
      </c>
      <c r="K119" s="134" t="str">
        <f>IF(J119="INS25",J119&amp;TEXT(COUNTIF($J$2:J119,"INS25"),"000"),IF(J119="C",J119&amp;TEXT(COUNTIF($J$2:J119,"C"),"000"),IF(J119="R",J119&amp;TEXT(COUNTIF($J$2:J119,"R"),"000"),IF(J119="A",J119&amp;TEXT(COUNTIF($J$2:J119,"A"),"000"),IF(J119="F",J119&amp;TEXT(COUNTIF($J$2:J119,"F"),"000"),IF(J119="M",J119&amp;TEXT(COUNTIF($J$2:J119,"M"),"000"),IF(J119="INS26",J119&amp;TEXT(COUNTIF($J$2:J119,"INS26"),"000"),"")))))))</f>
        <v/>
      </c>
    </row>
    <row r="120" spans="1:11" ht="15.75" customHeight="1">
      <c r="A120" s="135" t="str">
        <f t="shared" si="7"/>
        <v/>
      </c>
      <c r="B120" s="136"/>
      <c r="C120" s="5" t="str">
        <f>IF(B120="","",TEXT(B120,"DD/MM/YYYY"))</f>
        <v/>
      </c>
      <c r="D120" s="137"/>
      <c r="E120" s="5" t="str">
        <f t="shared" si="12"/>
        <v/>
      </c>
      <c r="F120" s="5" t="str">
        <f t="shared" si="11"/>
        <v/>
      </c>
      <c r="G120" s="138"/>
      <c r="H120" s="6" t="str">
        <f>IF(G120="","",CONVERTIRNUM(G120))</f>
        <v/>
      </c>
      <c r="I120" s="139"/>
      <c r="J120" s="106" t="str">
        <f t="shared" si="9"/>
        <v/>
      </c>
      <c r="K120" s="134" t="str">
        <f>IF(J120="INS25",J120&amp;TEXT(COUNTIF($J$2:J120,"INS25"),"000"),IF(J120="C",J120&amp;TEXT(COUNTIF($J$2:J120,"C"),"000"),IF(J120="R",J120&amp;TEXT(COUNTIF($J$2:J120,"R"),"000"),IF(J120="A",J120&amp;TEXT(COUNTIF($J$2:J120,"A"),"000"),IF(J120="F",J120&amp;TEXT(COUNTIF($J$2:J120,"F"),"000"),IF(J120="M",J120&amp;TEXT(COUNTIF($J$2:J120,"M"),"000"),IF(J120="INS26",J120&amp;TEXT(COUNTIF($J$2:J120,"INS26"),"000"),"")))))))</f>
        <v/>
      </c>
    </row>
    <row r="121" spans="1:11" ht="15.75" customHeight="1">
      <c r="A121" s="135" t="str">
        <f t="shared" si="7"/>
        <v/>
      </c>
      <c r="B121" s="136"/>
      <c r="C121" s="10"/>
      <c r="D121" s="137"/>
      <c r="E121" s="5" t="str">
        <f t="shared" si="12"/>
        <v/>
      </c>
      <c r="F121" s="5" t="str">
        <f t="shared" si="11"/>
        <v/>
      </c>
      <c r="G121" s="138"/>
      <c r="H121" s="6" t="str">
        <f>IF(G121="","",CONVERTIRNUM(G121))</f>
        <v/>
      </c>
      <c r="I121" s="139"/>
      <c r="J121" s="106" t="str">
        <f t="shared" si="9"/>
        <v/>
      </c>
      <c r="K121" s="134" t="str">
        <f>IF(J121="INS25",J121&amp;TEXT(COUNTIF($J$2:J121,"INS25"),"000"),IF(J121="C",J121&amp;TEXT(COUNTIF($J$2:J121,"C"),"000"),IF(J121="R",J121&amp;TEXT(COUNTIF($J$2:J121,"R"),"000"),IF(J121="A",J121&amp;TEXT(COUNTIF($J$2:J121,"A"),"000"),IF(J121="F",J121&amp;TEXT(COUNTIF($J$2:J121,"F"),"000"),IF(J121="M",J121&amp;TEXT(COUNTIF($J$2:J121,"M"),"000"),IF(J121="INS26",J121&amp;TEXT(COUNTIF($J$2:J121,"INS26"),"000"),"")))))))</f>
        <v/>
      </c>
    </row>
    <row r="122" spans="1:11" ht="15.75" customHeight="1">
      <c r="A122" s="135" t="str">
        <f t="shared" si="7"/>
        <v/>
      </c>
      <c r="B122" s="136"/>
      <c r="C122" s="5" t="str">
        <f>IF(B122="","",TEXT(B122,"DD/MM/YYYY"))</f>
        <v/>
      </c>
      <c r="D122" s="137"/>
      <c r="E122" s="5" t="str">
        <f t="shared" si="12"/>
        <v/>
      </c>
      <c r="F122" s="5" t="str">
        <f t="shared" si="11"/>
        <v/>
      </c>
      <c r="G122" s="138"/>
      <c r="H122" s="6" t="str">
        <f>IF(G122="","",CONVERTIRNUM(G122))</f>
        <v/>
      </c>
      <c r="I122" s="139"/>
      <c r="J122" s="106" t="str">
        <f t="shared" si="9"/>
        <v/>
      </c>
      <c r="K122" s="134" t="str">
        <f>IF(J122="INS25",J122&amp;TEXT(COUNTIF($J$2:J122,"INS25"),"000"),IF(J122="C",J122&amp;TEXT(COUNTIF($J$2:J122,"C"),"000"),IF(J122="R",J122&amp;TEXT(COUNTIF($J$2:J122,"R"),"000"),IF(J122="A",J122&amp;TEXT(COUNTIF($J$2:J122,"A"),"000"),IF(J122="F",J122&amp;TEXT(COUNTIF($J$2:J122,"F"),"000"),IF(J122="M",J122&amp;TEXT(COUNTIF($J$2:J122,"M"),"000"),IF(J122="INS26",J122&amp;TEXT(COUNTIF($J$2:J122,"INS26"),"000"),"")))))))</f>
        <v/>
      </c>
    </row>
    <row r="123" spans="1:11" ht="15.75" customHeight="1">
      <c r="A123" s="135" t="str">
        <f t="shared" si="7"/>
        <v/>
      </c>
      <c r="B123" s="136"/>
      <c r="C123" s="5" t="str">
        <f>IF(B123="","",TEXT(B123,"DD/MM/YYYY"))</f>
        <v/>
      </c>
      <c r="D123" s="137"/>
      <c r="E123" s="5" t="str">
        <f t="shared" si="12"/>
        <v/>
      </c>
      <c r="F123" s="5" t="str">
        <f t="shared" si="11"/>
        <v/>
      </c>
      <c r="G123" s="138"/>
      <c r="H123" s="6"/>
      <c r="I123" s="139"/>
      <c r="J123" s="106" t="str">
        <f t="shared" si="9"/>
        <v/>
      </c>
      <c r="K123" s="134" t="str">
        <f>IF(J123="INS25",J123&amp;TEXT(COUNTIF($J$2:J123,"INS25"),"000"),IF(J123="C",J123&amp;TEXT(COUNTIF($J$2:J123,"C"),"000"),IF(J123="R",J123&amp;TEXT(COUNTIF($J$2:J123,"R"),"000"),IF(J123="A",J123&amp;TEXT(COUNTIF($J$2:J123,"A"),"000"),IF(J123="F",J123&amp;TEXT(COUNTIF($J$2:J123,"F"),"000"),IF(J123="M",J123&amp;TEXT(COUNTIF($J$2:J123,"M"),"000"),IF(J123="INS26",J123&amp;TEXT(COUNTIF($J$2:J123,"INS26"),"000"),"")))))))</f>
        <v/>
      </c>
    </row>
    <row r="124" spans="1:11" ht="15.75" customHeight="1">
      <c r="A124" s="135" t="str">
        <f t="shared" si="7"/>
        <v/>
      </c>
      <c r="B124" s="136"/>
      <c r="C124" s="10"/>
      <c r="D124" s="137"/>
      <c r="E124" s="5" t="str">
        <f t="shared" si="12"/>
        <v/>
      </c>
      <c r="F124" s="5" t="str">
        <f t="shared" si="11"/>
        <v/>
      </c>
      <c r="G124" s="138"/>
      <c r="H124" s="6" t="str">
        <f t="shared" ref="H124:H193" si="13">IF(G124="","",CONVERTIRNUM(G124))</f>
        <v/>
      </c>
      <c r="I124" s="139"/>
      <c r="J124" s="106" t="str">
        <f t="shared" si="9"/>
        <v/>
      </c>
      <c r="K124" s="134" t="str">
        <f>IF(J124="INS25",J124&amp;TEXT(COUNTIF($J$2:J124,"INS25"),"000"),IF(J124="C",J124&amp;TEXT(COUNTIF($J$2:J124,"C"),"000"),IF(J124="R",J124&amp;TEXT(COUNTIF($J$2:J124,"R"),"000"),IF(J124="A",J124&amp;TEXT(COUNTIF($J$2:J124,"A"),"000"),IF(J124="F",J124&amp;TEXT(COUNTIF($J$2:J124,"F"),"000"),IF(J124="M",J124&amp;TEXT(COUNTIF($J$2:J124,"M"),"000"),IF(J124="INS26",J124&amp;TEXT(COUNTIF($J$2:J124,"INS26"),"000"),"")))))))</f>
        <v/>
      </c>
    </row>
    <row r="125" spans="1:11" ht="15.75" customHeight="1">
      <c r="A125" s="135" t="str">
        <f t="shared" si="7"/>
        <v/>
      </c>
      <c r="B125" s="136"/>
      <c r="C125" s="5" t="str">
        <f t="shared" ref="C125:C193" si="14">IF(B125="","",TEXT(B125,"DD/MM/YYYY"))</f>
        <v/>
      </c>
      <c r="D125" s="137"/>
      <c r="E125" s="5" t="str">
        <f t="shared" si="12"/>
        <v/>
      </c>
      <c r="F125" s="5" t="str">
        <f t="shared" si="11"/>
        <v/>
      </c>
      <c r="G125" s="138"/>
      <c r="H125" s="6" t="str">
        <f t="shared" si="13"/>
        <v/>
      </c>
      <c r="I125" s="139"/>
      <c r="J125" s="106" t="str">
        <f t="shared" si="9"/>
        <v/>
      </c>
      <c r="K125" s="134" t="str">
        <f>IF(J125="INS25",J125&amp;TEXT(COUNTIF($J$2:J125,"INS25"),"000"),IF(J125="C",J125&amp;TEXT(COUNTIF($J$2:J125,"C"),"000"),IF(J125="R",J125&amp;TEXT(COUNTIF($J$2:J125,"R"),"000"),IF(J125="A",J125&amp;TEXT(COUNTIF($J$2:J125,"A"),"000"),IF(J125="F",J125&amp;TEXT(COUNTIF($J$2:J125,"F"),"000"),IF(J125="M",J125&amp;TEXT(COUNTIF($J$2:J125,"M"),"000"),IF(J125="INS26",J125&amp;TEXT(COUNTIF($J$2:J125,"INS26"),"000"),"")))))))</f>
        <v/>
      </c>
    </row>
    <row r="126" spans="1:11" ht="15.75" customHeight="1">
      <c r="A126" s="135" t="str">
        <f t="shared" si="7"/>
        <v/>
      </c>
      <c r="B126" s="136"/>
      <c r="C126" s="5" t="str">
        <f t="shared" si="14"/>
        <v/>
      </c>
      <c r="D126" s="137"/>
      <c r="E126" s="5" t="str">
        <f t="shared" si="12"/>
        <v/>
      </c>
      <c r="F126" s="5" t="str">
        <f t="shared" si="11"/>
        <v/>
      </c>
      <c r="G126" s="138"/>
      <c r="H126" s="6" t="str">
        <f t="shared" si="13"/>
        <v/>
      </c>
      <c r="I126" s="139"/>
      <c r="J126" s="106" t="str">
        <f t="shared" si="9"/>
        <v/>
      </c>
      <c r="K126" s="134" t="str">
        <f>IF(J126="INS25",J126&amp;TEXT(COUNTIF($J$2:J126,"INS25"),"000"),IF(J126="C",J126&amp;TEXT(COUNTIF($J$2:J126,"C"),"000"),IF(J126="R",J126&amp;TEXT(COUNTIF($J$2:J126,"R"),"000"),IF(J126="A",J126&amp;TEXT(COUNTIF($J$2:J126,"A"),"000"),IF(J126="F",J126&amp;TEXT(COUNTIF($J$2:J126,"F"),"000"),IF(J126="M",J126&amp;TEXT(COUNTIF($J$2:J126,"M"),"000"),IF(J126="INS26",J126&amp;TEXT(COUNTIF($J$2:J126,"INS26"),"000"),"")))))))</f>
        <v/>
      </c>
    </row>
    <row r="127" spans="1:11" ht="15.75" customHeight="1">
      <c r="A127" s="135" t="str">
        <f t="shared" si="7"/>
        <v/>
      </c>
      <c r="B127" s="136"/>
      <c r="C127" s="5" t="str">
        <f t="shared" si="14"/>
        <v/>
      </c>
      <c r="D127" s="137"/>
      <c r="E127" s="5" t="str">
        <f t="shared" si="12"/>
        <v/>
      </c>
      <c r="F127" s="5" t="str">
        <f t="shared" si="11"/>
        <v/>
      </c>
      <c r="G127" s="138"/>
      <c r="H127" s="6" t="str">
        <f t="shared" si="13"/>
        <v/>
      </c>
      <c r="I127" s="139"/>
      <c r="J127" s="106" t="str">
        <f t="shared" si="9"/>
        <v/>
      </c>
      <c r="K127" s="134" t="str">
        <f>IF(J127="INS25",J127&amp;TEXT(COUNTIF($J$2:J127,"INS25"),"000"),IF(J127="C",J127&amp;TEXT(COUNTIF($J$2:J127,"C"),"000"),IF(J127="R",J127&amp;TEXT(COUNTIF($J$2:J127,"R"),"000"),IF(J127="A",J127&amp;TEXT(COUNTIF($J$2:J127,"A"),"000"),IF(J127="F",J127&amp;TEXT(COUNTIF($J$2:J127,"F"),"000"),IF(J127="M",J127&amp;TEXT(COUNTIF($J$2:J127,"M"),"000"),IF(J127="INS26",J127&amp;TEXT(COUNTIF($J$2:J127,"INS26"),"000"),"")))))))</f>
        <v/>
      </c>
    </row>
    <row r="128" spans="1:11" ht="15.75" customHeight="1">
      <c r="A128" s="135" t="str">
        <f t="shared" si="7"/>
        <v/>
      </c>
      <c r="B128" s="136"/>
      <c r="C128" s="5" t="str">
        <f t="shared" si="14"/>
        <v/>
      </c>
      <c r="D128" s="137"/>
      <c r="E128" s="5" t="str">
        <f t="shared" si="12"/>
        <v/>
      </c>
      <c r="F128" s="5" t="str">
        <f t="shared" si="11"/>
        <v/>
      </c>
      <c r="G128" s="138"/>
      <c r="H128" s="6" t="str">
        <f t="shared" si="13"/>
        <v/>
      </c>
      <c r="I128" s="139"/>
      <c r="J128" s="106" t="str">
        <f t="shared" si="9"/>
        <v/>
      </c>
      <c r="K128" s="134" t="str">
        <f>IF(J128="INS25",J128&amp;TEXT(COUNTIF($J$2:J128,"INS25"),"000"),IF(J128="C",J128&amp;TEXT(COUNTIF($J$2:J128,"C"),"000"),IF(J128="R",J128&amp;TEXT(COUNTIF($J$2:J128,"R"),"000"),IF(J128="A",J128&amp;TEXT(COUNTIF($J$2:J128,"A"),"000"),IF(J128="F",J128&amp;TEXT(COUNTIF($J$2:J128,"F"),"000"),IF(J128="M",J128&amp;TEXT(COUNTIF($J$2:J128,"M"),"000"),IF(J128="INS26",J128&amp;TEXT(COUNTIF($J$2:J128,"INS26"),"000"),"")))))))</f>
        <v/>
      </c>
    </row>
    <row r="129" spans="1:11" ht="15.75" customHeight="1">
      <c r="A129" s="135" t="str">
        <f t="shared" si="7"/>
        <v/>
      </c>
      <c r="B129" s="136"/>
      <c r="C129" s="5" t="str">
        <f t="shared" si="14"/>
        <v/>
      </c>
      <c r="D129" s="137"/>
      <c r="E129" s="5" t="str">
        <f t="shared" si="12"/>
        <v/>
      </c>
      <c r="F129" s="5" t="str">
        <f t="shared" si="11"/>
        <v/>
      </c>
      <c r="G129" s="138"/>
      <c r="H129" s="6" t="str">
        <f t="shared" si="13"/>
        <v/>
      </c>
      <c r="I129" s="139"/>
      <c r="J129" s="106" t="str">
        <f t="shared" si="9"/>
        <v/>
      </c>
      <c r="K129" s="134" t="str">
        <f>IF(J129="INS25",J129&amp;TEXT(COUNTIF($J$2:J129,"INS25"),"000"),IF(J129="C",J129&amp;TEXT(COUNTIF($J$2:J129,"C"),"000"),IF(J129="R",J129&amp;TEXT(COUNTIF($J$2:J129,"R"),"000"),IF(J129="A",J129&amp;TEXT(COUNTIF($J$2:J129,"A"),"000"),IF(J129="F",J129&amp;TEXT(COUNTIF($J$2:J129,"F"),"000"),IF(J129="M",J129&amp;TEXT(COUNTIF($J$2:J129,"M"),"000"),IF(J129="INS26",J129&amp;TEXT(COUNTIF($J$2:J129,"INS26"),"000"),"")))))))</f>
        <v/>
      </c>
    </row>
    <row r="130" spans="1:11" ht="15.75" customHeight="1">
      <c r="A130" s="135" t="str">
        <f t="shared" si="7"/>
        <v/>
      </c>
      <c r="B130" s="136"/>
      <c r="C130" s="5" t="str">
        <f t="shared" si="14"/>
        <v/>
      </c>
      <c r="D130" s="137"/>
      <c r="E130" s="5" t="str">
        <f t="shared" si="12"/>
        <v/>
      </c>
      <c r="F130" s="5" t="str">
        <f t="shared" si="11"/>
        <v/>
      </c>
      <c r="G130" s="138"/>
      <c r="H130" s="6" t="str">
        <f t="shared" si="13"/>
        <v/>
      </c>
      <c r="I130" s="139"/>
      <c r="J130" s="106" t="str">
        <f t="shared" si="9"/>
        <v/>
      </c>
      <c r="K130" s="134" t="str">
        <f>IF(J130="INS25",J130&amp;TEXT(COUNTIF($J$2:J130,"INS25"),"000"),IF(J130="C",J130&amp;TEXT(COUNTIF($J$2:J130,"C"),"000"),IF(J130="R",J130&amp;TEXT(COUNTIF($J$2:J130,"R"),"000"),IF(J130="A",J130&amp;TEXT(COUNTIF($J$2:J130,"A"),"000"),IF(J130="F",J130&amp;TEXT(COUNTIF($J$2:J130,"F"),"000"),IF(J130="M",J130&amp;TEXT(COUNTIF($J$2:J130,"M"),"000"),IF(J130="INS26",J130&amp;TEXT(COUNTIF($J$2:J130,"INS26"),"000"),"")))))))</f>
        <v/>
      </c>
    </row>
    <row r="131" spans="1:11" ht="15.75" customHeight="1">
      <c r="A131" s="135" t="str">
        <f t="shared" ref="A131:A193" si="15">K131</f>
        <v/>
      </c>
      <c r="B131" s="136"/>
      <c r="C131" s="5" t="str">
        <f t="shared" si="14"/>
        <v/>
      </c>
      <c r="D131" s="137"/>
      <c r="E131" s="5" t="str">
        <f t="shared" si="12"/>
        <v/>
      </c>
      <c r="F131" s="5" t="str">
        <f t="shared" si="11"/>
        <v/>
      </c>
      <c r="G131" s="138"/>
      <c r="H131" s="6" t="str">
        <f t="shared" si="13"/>
        <v/>
      </c>
      <c r="I131" s="139"/>
      <c r="J131" s="106" t="str">
        <f t="shared" ref="J131:J194" si="16">IF(I131="Inscripcion 2025 - 2026","INS25",IF(I131="Inscripcion 2026 - 2027","INS26",IF(I131="FOFI","F",IF(I131="Amarillas","A",IF(I131="Rojas","R",IF(I131="Carnet","C",IF(I131="Multas","M","")))))))</f>
        <v/>
      </c>
      <c r="K131" s="134" t="str">
        <f>IF(J131="INS25",J131&amp;TEXT(COUNTIF($J$2:J131,"INS25"),"000"),IF(J131="C",J131&amp;TEXT(COUNTIF($J$2:J131,"C"),"000"),IF(J131="R",J131&amp;TEXT(COUNTIF($J$2:J131,"R"),"000"),IF(J131="A",J131&amp;TEXT(COUNTIF($J$2:J131,"A"),"000"),IF(J131="F",J131&amp;TEXT(COUNTIF($J$2:J131,"F"),"000"),IF(J131="M",J131&amp;TEXT(COUNTIF($J$2:J131,"M"),"000"),IF(J131="INS26",J131&amp;TEXT(COUNTIF($J$2:J131,"INS26"),"000"),"")))))))</f>
        <v/>
      </c>
    </row>
    <row r="132" spans="1:11" ht="15.75" customHeight="1">
      <c r="A132" s="135" t="str">
        <f t="shared" si="15"/>
        <v/>
      </c>
      <c r="B132" s="136"/>
      <c r="C132" s="5" t="str">
        <f t="shared" si="14"/>
        <v/>
      </c>
      <c r="D132" s="137"/>
      <c r="E132" s="5" t="str">
        <f t="shared" si="12"/>
        <v/>
      </c>
      <c r="F132" s="5" t="str">
        <f t="shared" si="11"/>
        <v/>
      </c>
      <c r="G132" s="138"/>
      <c r="H132" s="6" t="str">
        <f t="shared" si="13"/>
        <v/>
      </c>
      <c r="I132" s="139"/>
      <c r="J132" s="106" t="str">
        <f t="shared" si="16"/>
        <v/>
      </c>
      <c r="K132" s="134" t="str">
        <f>IF(J132="INS25",J132&amp;TEXT(COUNTIF($J$2:J132,"INS25"),"000"),IF(J132="C",J132&amp;TEXT(COUNTIF($J$2:J132,"C"),"000"),IF(J132="R",J132&amp;TEXT(COUNTIF($J$2:J132,"R"),"000"),IF(J132="A",J132&amp;TEXT(COUNTIF($J$2:J132,"A"),"000"),IF(J132="F",J132&amp;TEXT(COUNTIF($J$2:J132,"F"),"000"),IF(J132="M",J132&amp;TEXT(COUNTIF($J$2:J132,"M"),"000"),IF(J132="INS26",J132&amp;TEXT(COUNTIF($J$2:J132,"INS26"),"000"),"")))))))</f>
        <v/>
      </c>
    </row>
    <row r="133" spans="1:11" ht="15.75" customHeight="1">
      <c r="A133" s="135" t="str">
        <f t="shared" si="15"/>
        <v/>
      </c>
      <c r="B133" s="136"/>
      <c r="C133" s="5" t="str">
        <f t="shared" si="14"/>
        <v/>
      </c>
      <c r="D133" s="137"/>
      <c r="E133" s="5" t="str">
        <f t="shared" si="12"/>
        <v/>
      </c>
      <c r="F133" s="5" t="str">
        <f t="shared" si="11"/>
        <v/>
      </c>
      <c r="G133" s="138"/>
      <c r="H133" s="6" t="str">
        <f t="shared" si="13"/>
        <v/>
      </c>
      <c r="I133" s="139"/>
      <c r="J133" s="106" t="str">
        <f t="shared" si="16"/>
        <v/>
      </c>
      <c r="K133" s="134" t="str">
        <f>IF(J133="INS25",J133&amp;TEXT(COUNTIF($J$2:J133,"INS25"),"000"),IF(J133="C",J133&amp;TEXT(COUNTIF($J$2:J133,"C"),"000"),IF(J133="R",J133&amp;TEXT(COUNTIF($J$2:J133,"R"),"000"),IF(J133="A",J133&amp;TEXT(COUNTIF($J$2:J133,"A"),"000"),IF(J133="F",J133&amp;TEXT(COUNTIF($J$2:J133,"F"),"000"),IF(J133="M",J133&amp;TEXT(COUNTIF($J$2:J133,"M"),"000"),IF(J133="INS26",J133&amp;TEXT(COUNTIF($J$2:J133,"INS26"),"000"),"")))))))</f>
        <v/>
      </c>
    </row>
    <row r="134" spans="1:11" ht="15.75" customHeight="1">
      <c r="A134" s="135" t="str">
        <f t="shared" si="15"/>
        <v/>
      </c>
      <c r="B134" s="136"/>
      <c r="C134" s="5" t="str">
        <f t="shared" si="14"/>
        <v/>
      </c>
      <c r="D134" s="137"/>
      <c r="E134" s="5" t="str">
        <f t="shared" si="12"/>
        <v/>
      </c>
      <c r="F134" s="5" t="str">
        <f t="shared" si="11"/>
        <v/>
      </c>
      <c r="G134" s="138"/>
      <c r="H134" s="6" t="str">
        <f t="shared" si="13"/>
        <v/>
      </c>
      <c r="I134" s="139"/>
      <c r="J134" s="106" t="str">
        <f t="shared" si="16"/>
        <v/>
      </c>
      <c r="K134" s="134" t="str">
        <f>IF(J134="INS25",J134&amp;TEXT(COUNTIF($J$2:J134,"INS25"),"000"),IF(J134="C",J134&amp;TEXT(COUNTIF($J$2:J134,"C"),"000"),IF(J134="R",J134&amp;TEXT(COUNTIF($J$2:J134,"R"),"000"),IF(J134="A",J134&amp;TEXT(COUNTIF($J$2:J134,"A"),"000"),IF(J134="F",J134&amp;TEXT(COUNTIF($J$2:J134,"F"),"000"),IF(J134="M",J134&amp;TEXT(COUNTIF($J$2:J134,"M"),"000"),IF(J134="INS26",J134&amp;TEXT(COUNTIF($J$2:J134,"INS26"),"000"),"")))))))</f>
        <v/>
      </c>
    </row>
    <row r="135" spans="1:11" ht="15.75" customHeight="1">
      <c r="A135" s="135" t="str">
        <f t="shared" si="15"/>
        <v/>
      </c>
      <c r="B135" s="136"/>
      <c r="C135" s="5" t="str">
        <f t="shared" si="14"/>
        <v/>
      </c>
      <c r="D135" s="137"/>
      <c r="E135" s="5" t="str">
        <f t="shared" si="12"/>
        <v/>
      </c>
      <c r="F135" s="5" t="str">
        <f t="shared" si="11"/>
        <v/>
      </c>
      <c r="G135" s="138"/>
      <c r="H135" s="6" t="str">
        <f t="shared" si="13"/>
        <v/>
      </c>
      <c r="I135" s="139"/>
      <c r="J135" s="106" t="str">
        <f t="shared" si="16"/>
        <v/>
      </c>
      <c r="K135" s="134" t="str">
        <f>IF(J135="INS25",J135&amp;TEXT(COUNTIF($J$2:J135,"INS25"),"000"),IF(J135="C",J135&amp;TEXT(COUNTIF($J$2:J135,"C"),"000"),IF(J135="R",J135&amp;TEXT(COUNTIF($J$2:J135,"R"),"000"),IF(J135="A",J135&amp;TEXT(COUNTIF($J$2:J135,"A"),"000"),IF(J135="F",J135&amp;TEXT(COUNTIF($J$2:J135,"F"),"000"),IF(J135="M",J135&amp;TEXT(COUNTIF($J$2:J135,"M"),"000"),IF(J135="INS26",J135&amp;TEXT(COUNTIF($J$2:J135,"INS26"),"000"),"")))))))</f>
        <v/>
      </c>
    </row>
    <row r="136" spans="1:11" ht="15.75" customHeight="1">
      <c r="A136" s="135" t="str">
        <f t="shared" si="15"/>
        <v/>
      </c>
      <c r="B136" s="136"/>
      <c r="C136" s="5" t="str">
        <f t="shared" si="14"/>
        <v/>
      </c>
      <c r="D136" s="137"/>
      <c r="E136" s="5" t="str">
        <f t="shared" si="12"/>
        <v/>
      </c>
      <c r="F136" s="5" t="str">
        <f t="shared" si="11"/>
        <v/>
      </c>
      <c r="G136" s="138"/>
      <c r="H136" s="6" t="str">
        <f t="shared" si="13"/>
        <v/>
      </c>
      <c r="I136" s="139"/>
      <c r="J136" s="106" t="str">
        <f t="shared" si="16"/>
        <v/>
      </c>
      <c r="K136" s="134" t="str">
        <f>IF(J136="INS25",J136&amp;TEXT(COUNTIF($J$2:J136,"INS25"),"000"),IF(J136="C",J136&amp;TEXT(COUNTIF($J$2:J136,"C"),"000"),IF(J136="R",J136&amp;TEXT(COUNTIF($J$2:J136,"R"),"000"),IF(J136="A",J136&amp;TEXT(COUNTIF($J$2:J136,"A"),"000"),IF(J136="F",J136&amp;TEXT(COUNTIF($J$2:J136,"F"),"000"),IF(J136="M",J136&amp;TEXT(COUNTIF($J$2:J136,"M"),"000"),IF(J136="INS26",J136&amp;TEXT(COUNTIF($J$2:J136,"INS26"),"000"),"")))))))</f>
        <v/>
      </c>
    </row>
    <row r="137" spans="1:11" ht="15.75" customHeight="1">
      <c r="A137" s="135" t="str">
        <f t="shared" si="15"/>
        <v/>
      </c>
      <c r="B137" s="136"/>
      <c r="C137" s="5" t="str">
        <f t="shared" si="14"/>
        <v/>
      </c>
      <c r="D137" s="137"/>
      <c r="E137" s="5" t="str">
        <f t="shared" si="12"/>
        <v/>
      </c>
      <c r="F137" s="5" t="str">
        <f t="shared" si="11"/>
        <v/>
      </c>
      <c r="G137" s="138"/>
      <c r="H137" s="11" t="str">
        <f t="shared" si="13"/>
        <v/>
      </c>
      <c r="I137" s="140"/>
      <c r="J137" s="106" t="str">
        <f t="shared" si="16"/>
        <v/>
      </c>
      <c r="K137" s="134" t="str">
        <f>IF(J137="INS25",J137&amp;TEXT(COUNTIF($J$2:J137,"INS25"),"000"),IF(J137="C",J137&amp;TEXT(COUNTIF($J$2:J137,"C"),"000"),IF(J137="R",J137&amp;TEXT(COUNTIF($J$2:J137,"R"),"000"),IF(J137="A",J137&amp;TEXT(COUNTIF($J$2:J137,"A"),"000"),IF(J137="F",J137&amp;TEXT(COUNTIF($J$2:J137,"F"),"000"),IF(J137="M",J137&amp;TEXT(COUNTIF($J$2:J137,"M"),"000"),IF(J137="INS26",J137&amp;TEXT(COUNTIF($J$2:J137,"INS26"),"000"),"")))))))</f>
        <v/>
      </c>
    </row>
    <row r="138" spans="1:11" ht="15.75" customHeight="1">
      <c r="A138" s="135" t="str">
        <f t="shared" si="15"/>
        <v/>
      </c>
      <c r="B138" s="136"/>
      <c r="C138" s="5" t="str">
        <f t="shared" si="14"/>
        <v/>
      </c>
      <c r="D138" s="137"/>
      <c r="E138" s="5" t="str">
        <f t="shared" si="12"/>
        <v/>
      </c>
      <c r="F138" s="5" t="str">
        <f t="shared" si="11"/>
        <v/>
      </c>
      <c r="G138" s="138"/>
      <c r="H138" s="11" t="str">
        <f t="shared" si="13"/>
        <v/>
      </c>
      <c r="I138" s="140"/>
      <c r="J138" s="106" t="str">
        <f t="shared" si="16"/>
        <v/>
      </c>
      <c r="K138" s="134" t="str">
        <f>IF(J138="INS25",J138&amp;TEXT(COUNTIF($J$2:J138,"INS25"),"000"),IF(J138="C",J138&amp;TEXT(COUNTIF($J$2:J138,"C"),"000"),IF(J138="R",J138&amp;TEXT(COUNTIF($J$2:J138,"R"),"000"),IF(J138="A",J138&amp;TEXT(COUNTIF($J$2:J138,"A"),"000"),IF(J138="F",J138&amp;TEXT(COUNTIF($J$2:J138,"F"),"000"),IF(J138="M",J138&amp;TEXT(COUNTIF($J$2:J138,"M"),"000"),IF(J138="INS26",J138&amp;TEXT(COUNTIF($J$2:J138,"INS26"),"000"),"")))))))</f>
        <v/>
      </c>
    </row>
    <row r="139" spans="1:11" ht="15.75" customHeight="1">
      <c r="A139" s="135" t="str">
        <f t="shared" si="15"/>
        <v/>
      </c>
      <c r="B139" s="136"/>
      <c r="C139" s="5" t="str">
        <f t="shared" si="14"/>
        <v/>
      </c>
      <c r="D139" s="137"/>
      <c r="E139" s="5" t="str">
        <f t="shared" si="12"/>
        <v/>
      </c>
      <c r="F139" s="5" t="str">
        <f t="shared" si="11"/>
        <v/>
      </c>
      <c r="G139" s="138"/>
      <c r="H139" s="11" t="str">
        <f t="shared" si="13"/>
        <v/>
      </c>
      <c r="I139" s="140"/>
      <c r="J139" s="106" t="str">
        <f t="shared" si="16"/>
        <v/>
      </c>
      <c r="K139" s="134" t="str">
        <f>IF(J139="INS25",J139&amp;TEXT(COUNTIF($J$2:J139,"INS25"),"000"),IF(J139="C",J139&amp;TEXT(COUNTIF($J$2:J139,"C"),"000"),IF(J139="R",J139&amp;TEXT(COUNTIF($J$2:J139,"R"),"000"),IF(J139="A",J139&amp;TEXT(COUNTIF($J$2:J139,"A"),"000"),IF(J139="F",J139&amp;TEXT(COUNTIF($J$2:J139,"F"),"000"),IF(J139="M",J139&amp;TEXT(COUNTIF($J$2:J139,"M"),"000"),IF(J139="INS26",J139&amp;TEXT(COUNTIF($J$2:J139,"INS26"),"000"),"")))))))</f>
        <v/>
      </c>
    </row>
    <row r="140" spans="1:11" ht="15.75" customHeight="1">
      <c r="A140" s="135" t="str">
        <f t="shared" si="15"/>
        <v/>
      </c>
      <c r="B140" s="136"/>
      <c r="C140" s="5" t="str">
        <f t="shared" si="14"/>
        <v/>
      </c>
      <c r="D140" s="137"/>
      <c r="E140" s="5" t="str">
        <f t="shared" si="12"/>
        <v/>
      </c>
      <c r="F140" s="5" t="str">
        <f t="shared" si="11"/>
        <v/>
      </c>
      <c r="G140" s="138"/>
      <c r="H140" s="11" t="str">
        <f t="shared" si="13"/>
        <v/>
      </c>
      <c r="I140" s="140"/>
      <c r="J140" s="106" t="str">
        <f t="shared" si="16"/>
        <v/>
      </c>
      <c r="K140" s="134" t="str">
        <f>IF(J140="INS25",J140&amp;TEXT(COUNTIF($J$2:J140,"INS25"),"000"),IF(J140="C",J140&amp;TEXT(COUNTIF($J$2:J140,"C"),"000"),IF(J140="R",J140&amp;TEXT(COUNTIF($J$2:J140,"R"),"000"),IF(J140="A",J140&amp;TEXT(COUNTIF($J$2:J140,"A"),"000"),IF(J140="F",J140&amp;TEXT(COUNTIF($J$2:J140,"F"),"000"),IF(J140="M",J140&amp;TEXT(COUNTIF($J$2:J140,"M"),"000"),IF(J140="INS26",J140&amp;TEXT(COUNTIF($J$2:J140,"INS26"),"000"),"")))))))</f>
        <v/>
      </c>
    </row>
    <row r="141" spans="1:11" ht="15.75" customHeight="1">
      <c r="A141" s="135" t="str">
        <f t="shared" si="15"/>
        <v/>
      </c>
      <c r="B141" s="136"/>
      <c r="C141" s="5" t="str">
        <f t="shared" si="14"/>
        <v/>
      </c>
      <c r="D141" s="137"/>
      <c r="E141" s="5" t="str">
        <f t="shared" si="12"/>
        <v/>
      </c>
      <c r="F141" s="5" t="str">
        <f t="shared" si="11"/>
        <v/>
      </c>
      <c r="G141" s="138"/>
      <c r="H141" s="11" t="str">
        <f t="shared" si="13"/>
        <v/>
      </c>
      <c r="I141" s="140"/>
      <c r="J141" s="106" t="str">
        <f t="shared" si="16"/>
        <v/>
      </c>
      <c r="K141" s="134" t="str">
        <f>IF(J141="INS25",J141&amp;TEXT(COUNTIF($J$2:J141,"INS25"),"000"),IF(J141="C",J141&amp;TEXT(COUNTIF($J$2:J141,"C"),"000"),IF(J141="R",J141&amp;TEXT(COUNTIF($J$2:J141,"R"),"000"),IF(J141="A",J141&amp;TEXT(COUNTIF($J$2:J141,"A"),"000"),IF(J141="F",J141&amp;TEXT(COUNTIF($J$2:J141,"F"),"000"),IF(J141="M",J141&amp;TEXT(COUNTIF($J$2:J141,"M"),"000"),IF(J141="INS26",J141&amp;TEXT(COUNTIF($J$2:J141,"INS26"),"000"),"")))))))</f>
        <v/>
      </c>
    </row>
    <row r="142" spans="1:11" ht="15.75" customHeight="1">
      <c r="A142" s="135" t="str">
        <f t="shared" si="15"/>
        <v/>
      </c>
      <c r="B142" s="136"/>
      <c r="C142" s="5" t="str">
        <f t="shared" si="14"/>
        <v/>
      </c>
      <c r="D142" s="137"/>
      <c r="E142" s="5" t="str">
        <f t="shared" si="12"/>
        <v/>
      </c>
      <c r="F142" s="5" t="str">
        <f t="shared" si="11"/>
        <v/>
      </c>
      <c r="G142" s="138"/>
      <c r="H142" s="11" t="str">
        <f t="shared" si="13"/>
        <v/>
      </c>
      <c r="I142" s="140"/>
      <c r="J142" s="106" t="str">
        <f t="shared" si="16"/>
        <v/>
      </c>
      <c r="K142" s="134" t="str">
        <f>IF(J142="INS25",J142&amp;TEXT(COUNTIF($J$2:J142,"INS25"),"000"),IF(J142="C",J142&amp;TEXT(COUNTIF($J$2:J142,"C"),"000"),IF(J142="R",J142&amp;TEXT(COUNTIF($J$2:J142,"R"),"000"),IF(J142="A",J142&amp;TEXT(COUNTIF($J$2:J142,"A"),"000"),IF(J142="F",J142&amp;TEXT(COUNTIF($J$2:J142,"F"),"000"),IF(J142="M",J142&amp;TEXT(COUNTIF($J$2:J142,"M"),"000"),IF(J142="INS26",J142&amp;TEXT(COUNTIF($J$2:J142,"INS26"),"000"),"")))))))</f>
        <v/>
      </c>
    </row>
    <row r="143" spans="1:11" ht="15.75" customHeight="1">
      <c r="A143" s="135" t="str">
        <f t="shared" si="15"/>
        <v/>
      </c>
      <c r="B143" s="136"/>
      <c r="C143" s="5" t="str">
        <f t="shared" si="14"/>
        <v/>
      </c>
      <c r="D143" s="137"/>
      <c r="E143" s="5" t="str">
        <f t="shared" si="12"/>
        <v/>
      </c>
      <c r="F143" s="5" t="str">
        <f t="shared" si="11"/>
        <v/>
      </c>
      <c r="G143" s="138"/>
      <c r="H143" s="11" t="str">
        <f t="shared" si="13"/>
        <v/>
      </c>
      <c r="I143" s="140"/>
      <c r="J143" s="106" t="str">
        <f t="shared" si="16"/>
        <v/>
      </c>
      <c r="K143" s="134" t="str">
        <f>IF(J143="INS25",J143&amp;TEXT(COUNTIF($J$2:J143,"INS25"),"000"),IF(J143="C",J143&amp;TEXT(COUNTIF($J$2:J143,"C"),"000"),IF(J143="R",J143&amp;TEXT(COUNTIF($J$2:J143,"R"),"000"),IF(J143="A",J143&amp;TEXT(COUNTIF($J$2:J143,"A"),"000"),IF(J143="F",J143&amp;TEXT(COUNTIF($J$2:J143,"F"),"000"),IF(J143="M",J143&amp;TEXT(COUNTIF($J$2:J143,"M"),"000"),IF(J143="INS26",J143&amp;TEXT(COUNTIF($J$2:J143,"INS26"),"000"),"")))))))</f>
        <v/>
      </c>
    </row>
    <row r="144" spans="1:11" ht="15.75" customHeight="1">
      <c r="A144" s="135" t="str">
        <f t="shared" si="15"/>
        <v/>
      </c>
      <c r="B144" s="136"/>
      <c r="C144" s="5" t="str">
        <f t="shared" si="14"/>
        <v/>
      </c>
      <c r="D144" s="137"/>
      <c r="E144" s="5" t="str">
        <f t="shared" si="12"/>
        <v/>
      </c>
      <c r="F144" s="5" t="str">
        <f t="shared" si="11"/>
        <v/>
      </c>
      <c r="G144" s="138"/>
      <c r="H144" s="11" t="str">
        <f t="shared" si="13"/>
        <v/>
      </c>
      <c r="I144" s="140"/>
      <c r="J144" s="106" t="str">
        <f t="shared" si="16"/>
        <v/>
      </c>
      <c r="K144" s="134" t="str">
        <f>IF(J144="INS25",J144&amp;TEXT(COUNTIF($J$2:J144,"INS25"),"000"),IF(J144="C",J144&amp;TEXT(COUNTIF($J$2:J144,"C"),"000"),IF(J144="R",J144&amp;TEXT(COUNTIF($J$2:J144,"R"),"000"),IF(J144="A",J144&amp;TEXT(COUNTIF($J$2:J144,"A"),"000"),IF(J144="F",J144&amp;TEXT(COUNTIF($J$2:J144,"F"),"000"),IF(J144="M",J144&amp;TEXT(COUNTIF($J$2:J144,"M"),"000"),IF(J144="INS26",J144&amp;TEXT(COUNTIF($J$2:J144,"INS26"),"000"),"")))))))</f>
        <v/>
      </c>
    </row>
    <row r="145" spans="1:11" ht="15.75" customHeight="1">
      <c r="A145" s="135" t="str">
        <f t="shared" si="15"/>
        <v/>
      </c>
      <c r="B145" s="136"/>
      <c r="C145" s="5" t="str">
        <f t="shared" si="14"/>
        <v/>
      </c>
      <c r="D145" s="137"/>
      <c r="E145" s="5" t="str">
        <f t="shared" si="12"/>
        <v/>
      </c>
      <c r="F145" s="5" t="str">
        <f t="shared" si="11"/>
        <v/>
      </c>
      <c r="G145" s="138"/>
      <c r="H145" s="11" t="str">
        <f t="shared" si="13"/>
        <v/>
      </c>
      <c r="I145" s="140"/>
      <c r="J145" s="106" t="str">
        <f t="shared" si="16"/>
        <v/>
      </c>
      <c r="K145" s="134" t="str">
        <f>IF(J145="INS25",J145&amp;TEXT(COUNTIF($J$2:J145,"INS25"),"000"),IF(J145="C",J145&amp;TEXT(COUNTIF($J$2:J145,"C"),"000"),IF(J145="R",J145&amp;TEXT(COUNTIF($J$2:J145,"R"),"000"),IF(J145="A",J145&amp;TEXT(COUNTIF($J$2:J145,"A"),"000"),IF(J145="F",J145&amp;TEXT(COUNTIF($J$2:J145,"F"),"000"),IF(J145="M",J145&amp;TEXT(COUNTIF($J$2:J145,"M"),"000"),IF(J145="INS26",J145&amp;TEXT(COUNTIF($J$2:J145,"INS26"),"000"),"")))))))</f>
        <v/>
      </c>
    </row>
    <row r="146" spans="1:11" ht="15.75" customHeight="1">
      <c r="A146" s="135" t="str">
        <f t="shared" si="15"/>
        <v/>
      </c>
      <c r="B146" s="136"/>
      <c r="C146" s="5" t="str">
        <f t="shared" si="14"/>
        <v/>
      </c>
      <c r="D146" s="137"/>
      <c r="E146" s="5" t="str">
        <f t="shared" si="12"/>
        <v/>
      </c>
      <c r="F146" s="5" t="str">
        <f t="shared" si="11"/>
        <v/>
      </c>
      <c r="G146" s="138"/>
      <c r="H146" s="6" t="str">
        <f t="shared" si="13"/>
        <v/>
      </c>
      <c r="I146" s="140"/>
      <c r="J146" s="106" t="str">
        <f t="shared" si="16"/>
        <v/>
      </c>
      <c r="K146" s="134" t="str">
        <f>IF(J146="INS25",J146&amp;TEXT(COUNTIF($J$2:J146,"INS25"),"000"),IF(J146="C",J146&amp;TEXT(COUNTIF($J$2:J146,"C"),"000"),IF(J146="R",J146&amp;TEXT(COUNTIF($J$2:J146,"R"),"000"),IF(J146="A",J146&amp;TEXT(COUNTIF($J$2:J146,"A"),"000"),IF(J146="F",J146&amp;TEXT(COUNTIF($J$2:J146,"F"),"000"),IF(J146="M",J146&amp;TEXT(COUNTIF($J$2:J146,"M"),"000"),IF(J146="INS26",J146&amp;TEXT(COUNTIF($J$2:J146,"INS26"),"000"),"")))))))</f>
        <v/>
      </c>
    </row>
    <row r="147" spans="1:11" ht="15.75" customHeight="1">
      <c r="A147" s="135" t="str">
        <f t="shared" si="15"/>
        <v/>
      </c>
      <c r="B147" s="136"/>
      <c r="C147" s="5" t="str">
        <f t="shared" si="14"/>
        <v/>
      </c>
      <c r="D147" s="137"/>
      <c r="E147" s="5" t="str">
        <f t="shared" si="12"/>
        <v/>
      </c>
      <c r="F147" s="5" t="str">
        <f t="shared" si="11"/>
        <v/>
      </c>
      <c r="G147" s="138"/>
      <c r="H147" s="6" t="str">
        <f t="shared" si="13"/>
        <v/>
      </c>
      <c r="I147" s="140"/>
      <c r="J147" s="106" t="str">
        <f t="shared" si="16"/>
        <v/>
      </c>
      <c r="K147" s="134" t="str">
        <f>IF(J147="INS25",J147&amp;TEXT(COUNTIF($J$2:J147,"INS25"),"000"),IF(J147="C",J147&amp;TEXT(COUNTIF($J$2:J147,"C"),"000"),IF(J147="R",J147&amp;TEXT(COUNTIF($J$2:J147,"R"),"000"),IF(J147="A",J147&amp;TEXT(COUNTIF($J$2:J147,"A"),"000"),IF(J147="F",J147&amp;TEXT(COUNTIF($J$2:J147,"F"),"000"),IF(J147="M",J147&amp;TEXT(COUNTIF($J$2:J147,"M"),"000"),IF(J147="INS26",J147&amp;TEXT(COUNTIF($J$2:J147,"INS26"),"000"),"")))))))</f>
        <v/>
      </c>
    </row>
    <row r="148" spans="1:11" ht="15.75" customHeight="1">
      <c r="A148" s="135" t="str">
        <f t="shared" si="15"/>
        <v/>
      </c>
      <c r="B148" s="136"/>
      <c r="C148" s="5" t="str">
        <f t="shared" si="14"/>
        <v/>
      </c>
      <c r="D148" s="137"/>
      <c r="E148" s="5" t="str">
        <f t="shared" si="12"/>
        <v/>
      </c>
      <c r="F148" s="5" t="str">
        <f t="shared" si="11"/>
        <v/>
      </c>
      <c r="G148" s="138"/>
      <c r="H148" s="6" t="str">
        <f t="shared" si="13"/>
        <v/>
      </c>
      <c r="I148" s="140"/>
      <c r="J148" s="106" t="str">
        <f t="shared" si="16"/>
        <v/>
      </c>
      <c r="K148" s="134" t="str">
        <f>IF(J148="INS25",J148&amp;TEXT(COUNTIF($J$2:J148,"INS25"),"000"),IF(J148="C",J148&amp;TEXT(COUNTIF($J$2:J148,"C"),"000"),IF(J148="R",J148&amp;TEXT(COUNTIF($J$2:J148,"R"),"000"),IF(J148="A",J148&amp;TEXT(COUNTIF($J$2:J148,"A"),"000"),IF(J148="F",J148&amp;TEXT(COUNTIF($J$2:J148,"F"),"000"),IF(J148="M",J148&amp;TEXT(COUNTIF($J$2:J148,"M"),"000"),IF(J148="INS26",J148&amp;TEXT(COUNTIF($J$2:J148,"INS26"),"000"),"")))))))</f>
        <v/>
      </c>
    </row>
    <row r="149" spans="1:11" ht="15.75" customHeight="1">
      <c r="A149" s="135" t="str">
        <f t="shared" si="15"/>
        <v/>
      </c>
      <c r="B149" s="136"/>
      <c r="C149" s="5" t="str">
        <f t="shared" si="14"/>
        <v/>
      </c>
      <c r="D149" s="137"/>
      <c r="E149" s="5" t="str">
        <f t="shared" si="12"/>
        <v/>
      </c>
      <c r="F149" s="5" t="str">
        <f t="shared" si="11"/>
        <v/>
      </c>
      <c r="G149" s="138"/>
      <c r="H149" s="6" t="str">
        <f t="shared" si="13"/>
        <v/>
      </c>
      <c r="I149" s="140"/>
      <c r="J149" s="106" t="str">
        <f t="shared" si="16"/>
        <v/>
      </c>
      <c r="K149" s="134" t="str">
        <f>IF(J149="INS25",J149&amp;TEXT(COUNTIF($J$2:J149,"INS25"),"000"),IF(J149="C",J149&amp;TEXT(COUNTIF($J$2:J149,"C"),"000"),IF(J149="R",J149&amp;TEXT(COUNTIF($J$2:J149,"R"),"000"),IF(J149="A",J149&amp;TEXT(COUNTIF($J$2:J149,"A"),"000"),IF(J149="F",J149&amp;TEXT(COUNTIF($J$2:J149,"F"),"000"),IF(J149="M",J149&amp;TEXT(COUNTIF($J$2:J149,"M"),"000"),IF(J149="INS26",J149&amp;TEXT(COUNTIF($J$2:J149,"INS26"),"000"),"")))))))</f>
        <v/>
      </c>
    </row>
    <row r="150" spans="1:11" ht="15.75" customHeight="1">
      <c r="A150" s="135" t="str">
        <f t="shared" si="15"/>
        <v/>
      </c>
      <c r="B150" s="136"/>
      <c r="C150" s="5" t="str">
        <f t="shared" si="14"/>
        <v/>
      </c>
      <c r="D150" s="137"/>
      <c r="E150" s="5" t="str">
        <f t="shared" si="12"/>
        <v/>
      </c>
      <c r="F150" s="5" t="str">
        <f t="shared" si="11"/>
        <v/>
      </c>
      <c r="G150" s="138"/>
      <c r="H150" s="6" t="str">
        <f t="shared" si="13"/>
        <v/>
      </c>
      <c r="I150" s="140"/>
      <c r="J150" s="106" t="str">
        <f t="shared" si="16"/>
        <v/>
      </c>
      <c r="K150" s="134" t="str">
        <f>IF(J150="INS25",J150&amp;TEXT(COUNTIF($J$2:J150,"INS25"),"000"),IF(J150="C",J150&amp;TEXT(COUNTIF($J$2:J150,"C"),"000"),IF(J150="R",J150&amp;TEXT(COUNTIF($J$2:J150,"R"),"000"),IF(J150="A",J150&amp;TEXT(COUNTIF($J$2:J150,"A"),"000"),IF(J150="F",J150&amp;TEXT(COUNTIF($J$2:J150,"F"),"000"),IF(J150="M",J150&amp;TEXT(COUNTIF($J$2:J150,"M"),"000"),IF(J150="INS26",J150&amp;TEXT(COUNTIF($J$2:J150,"INS26"),"000"),"")))))))</f>
        <v/>
      </c>
    </row>
    <row r="151" spans="1:11" ht="15.75" customHeight="1">
      <c r="A151" s="135" t="str">
        <f t="shared" si="15"/>
        <v/>
      </c>
      <c r="B151" s="136"/>
      <c r="C151" s="5" t="str">
        <f t="shared" si="14"/>
        <v/>
      </c>
      <c r="D151" s="137"/>
      <c r="E151" s="5" t="str">
        <f t="shared" si="12"/>
        <v/>
      </c>
      <c r="F151" s="5" t="str">
        <f t="shared" si="11"/>
        <v/>
      </c>
      <c r="G151" s="138"/>
      <c r="H151" s="6" t="str">
        <f t="shared" si="13"/>
        <v/>
      </c>
      <c r="I151" s="140"/>
      <c r="J151" s="106" t="str">
        <f t="shared" si="16"/>
        <v/>
      </c>
      <c r="K151" s="134" t="str">
        <f>IF(J151="INS25",J151&amp;TEXT(COUNTIF($J$2:J151,"INS25"),"000"),IF(J151="C",J151&amp;TEXT(COUNTIF($J$2:J151,"C"),"000"),IF(J151="R",J151&amp;TEXT(COUNTIF($J$2:J151,"R"),"000"),IF(J151="A",J151&amp;TEXT(COUNTIF($J$2:J151,"A"),"000"),IF(J151="F",J151&amp;TEXT(COUNTIF($J$2:J151,"F"),"000"),IF(J151="M",J151&amp;TEXT(COUNTIF($J$2:J151,"M"),"000"),IF(J151="INS26",J151&amp;TEXT(COUNTIF($J$2:J151,"INS26"),"000"),"")))))))</f>
        <v/>
      </c>
    </row>
    <row r="152" spans="1:11" ht="15.75" customHeight="1">
      <c r="A152" s="135" t="str">
        <f t="shared" si="15"/>
        <v/>
      </c>
      <c r="B152" s="136"/>
      <c r="C152" s="5" t="str">
        <f t="shared" si="14"/>
        <v/>
      </c>
      <c r="D152" s="137"/>
      <c r="E152" s="5" t="str">
        <f t="shared" si="12"/>
        <v/>
      </c>
      <c r="F152" s="5" t="str">
        <f t="shared" si="11"/>
        <v/>
      </c>
      <c r="G152" s="138"/>
      <c r="H152" s="6" t="str">
        <f t="shared" si="13"/>
        <v/>
      </c>
      <c r="I152" s="140"/>
      <c r="J152" s="106" t="str">
        <f t="shared" si="16"/>
        <v/>
      </c>
      <c r="K152" s="134" t="str">
        <f>IF(J152="INS25",J152&amp;TEXT(COUNTIF($J$2:J152,"INS25"),"000"),IF(J152="C",J152&amp;TEXT(COUNTIF($J$2:J152,"C"),"000"),IF(J152="R",J152&amp;TEXT(COUNTIF($J$2:J152,"R"),"000"),IF(J152="A",J152&amp;TEXT(COUNTIF($J$2:J152,"A"),"000"),IF(J152="F",J152&amp;TEXT(COUNTIF($J$2:J152,"F"),"000"),IF(J152="M",J152&amp;TEXT(COUNTIF($J$2:J152,"M"),"000"),IF(J152="INS26",J152&amp;TEXT(COUNTIF($J$2:J152,"INS26"),"000"),"")))))))</f>
        <v/>
      </c>
    </row>
    <row r="153" spans="1:11" ht="15.75" customHeight="1">
      <c r="A153" s="135" t="str">
        <f t="shared" si="15"/>
        <v/>
      </c>
      <c r="B153" s="136"/>
      <c r="C153" s="5" t="str">
        <f t="shared" si="14"/>
        <v/>
      </c>
      <c r="D153" s="137"/>
      <c r="E153" s="5" t="str">
        <f t="shared" si="12"/>
        <v/>
      </c>
      <c r="F153" s="5" t="str">
        <f t="shared" si="11"/>
        <v/>
      </c>
      <c r="G153" s="138"/>
      <c r="H153" s="6" t="str">
        <f t="shared" si="13"/>
        <v/>
      </c>
      <c r="I153" s="140"/>
      <c r="J153" s="106" t="str">
        <f t="shared" si="16"/>
        <v/>
      </c>
      <c r="K153" s="134" t="str">
        <f>IF(J153="INS25",J153&amp;TEXT(COUNTIF($J$2:J153,"INS25"),"000"),IF(J153="C",J153&amp;TEXT(COUNTIF($J$2:J153,"C"),"000"),IF(J153="R",J153&amp;TEXT(COUNTIF($J$2:J153,"R"),"000"),IF(J153="A",J153&amp;TEXT(COUNTIF($J$2:J153,"A"),"000"),IF(J153="F",J153&amp;TEXT(COUNTIF($J$2:J153,"F"),"000"),IF(J153="M",J153&amp;TEXT(COUNTIF($J$2:J153,"M"),"000"),IF(J153="INS26",J153&amp;TEXT(COUNTIF($J$2:J153,"INS26"),"000"),"")))))))</f>
        <v/>
      </c>
    </row>
    <row r="154" spans="1:11" ht="15.75" customHeight="1">
      <c r="A154" s="135" t="str">
        <f t="shared" si="15"/>
        <v/>
      </c>
      <c r="B154" s="136"/>
      <c r="C154" s="5" t="str">
        <f t="shared" si="14"/>
        <v/>
      </c>
      <c r="D154" s="137"/>
      <c r="E154" s="5" t="str">
        <f t="shared" si="12"/>
        <v/>
      </c>
      <c r="F154" s="5" t="str">
        <f t="shared" si="11"/>
        <v/>
      </c>
      <c r="G154" s="138"/>
      <c r="H154" s="6" t="str">
        <f t="shared" si="13"/>
        <v/>
      </c>
      <c r="I154" s="140"/>
      <c r="J154" s="106" t="str">
        <f t="shared" si="16"/>
        <v/>
      </c>
      <c r="K154" s="134" t="str">
        <f>IF(J154="INS25",J154&amp;TEXT(COUNTIF($J$2:J154,"INS25"),"000"),IF(J154="C",J154&amp;TEXT(COUNTIF($J$2:J154,"C"),"000"),IF(J154="R",J154&amp;TEXT(COUNTIF($J$2:J154,"R"),"000"),IF(J154="A",J154&amp;TEXT(COUNTIF($J$2:J154,"A"),"000"),IF(J154="F",J154&amp;TEXT(COUNTIF($J$2:J154,"F"),"000"),IF(J154="M",J154&amp;TEXT(COUNTIF($J$2:J154,"M"),"000"),IF(J154="INS26",J154&amp;TEXT(COUNTIF($J$2:J154,"INS26"),"000"),"")))))))</f>
        <v/>
      </c>
    </row>
    <row r="155" spans="1:11" ht="15.75" customHeight="1">
      <c r="A155" s="135" t="str">
        <f t="shared" si="15"/>
        <v/>
      </c>
      <c r="B155" s="136"/>
      <c r="C155" s="5" t="str">
        <f t="shared" si="14"/>
        <v/>
      </c>
      <c r="D155" s="137"/>
      <c r="E155" s="5" t="str">
        <f t="shared" si="12"/>
        <v/>
      </c>
      <c r="F155" s="5" t="str">
        <f t="shared" si="11"/>
        <v/>
      </c>
      <c r="G155" s="138"/>
      <c r="H155" s="6" t="str">
        <f t="shared" si="13"/>
        <v/>
      </c>
      <c r="I155" s="140"/>
      <c r="J155" s="106" t="str">
        <f t="shared" si="16"/>
        <v/>
      </c>
      <c r="K155" s="134" t="str">
        <f>IF(J155="INS25",J155&amp;TEXT(COUNTIF($J$2:J155,"INS25"),"000"),IF(J155="C",J155&amp;TEXT(COUNTIF($J$2:J155,"C"),"000"),IF(J155="R",J155&amp;TEXT(COUNTIF($J$2:J155,"R"),"000"),IF(J155="A",J155&amp;TEXT(COUNTIF($J$2:J155,"A"),"000"),IF(J155="F",J155&amp;TEXT(COUNTIF($J$2:J155,"F"),"000"),IF(J155="M",J155&amp;TEXT(COUNTIF($J$2:J155,"M"),"000"),IF(J155="INS26",J155&amp;TEXT(COUNTIF($J$2:J155,"INS26"),"000"),"")))))))</f>
        <v/>
      </c>
    </row>
    <row r="156" spans="1:11" ht="15.75" customHeight="1">
      <c r="A156" s="135" t="str">
        <f t="shared" si="15"/>
        <v/>
      </c>
      <c r="B156" s="136"/>
      <c r="C156" s="5" t="str">
        <f t="shared" si="14"/>
        <v/>
      </c>
      <c r="D156" s="137"/>
      <c r="E156" s="5" t="str">
        <f t="shared" si="12"/>
        <v/>
      </c>
      <c r="F156" s="5" t="str">
        <f t="shared" si="11"/>
        <v/>
      </c>
      <c r="G156" s="138"/>
      <c r="H156" s="6" t="str">
        <f t="shared" si="13"/>
        <v/>
      </c>
      <c r="I156" s="140"/>
      <c r="J156" s="106" t="str">
        <f t="shared" si="16"/>
        <v/>
      </c>
      <c r="K156" s="134" t="str">
        <f>IF(J156="INS25",J156&amp;TEXT(COUNTIF($J$2:J156,"INS25"),"000"),IF(J156="C",J156&amp;TEXT(COUNTIF($J$2:J156,"C"),"000"),IF(J156="R",J156&amp;TEXT(COUNTIF($J$2:J156,"R"),"000"),IF(J156="A",J156&amp;TEXT(COUNTIF($J$2:J156,"A"),"000"),IF(J156="F",J156&amp;TEXT(COUNTIF($J$2:J156,"F"),"000"),IF(J156="M",J156&amp;TEXT(COUNTIF($J$2:J156,"M"),"000"),IF(J156="INS26",J156&amp;TEXT(COUNTIF($J$2:J156,"INS26"),"000"),"")))))))</f>
        <v/>
      </c>
    </row>
    <row r="157" spans="1:11" ht="15.75" customHeight="1">
      <c r="A157" s="135" t="str">
        <f t="shared" si="15"/>
        <v/>
      </c>
      <c r="B157" s="136"/>
      <c r="C157" s="5" t="str">
        <f t="shared" si="14"/>
        <v/>
      </c>
      <c r="D157" s="137"/>
      <c r="E157" s="5" t="str">
        <f t="shared" si="12"/>
        <v/>
      </c>
      <c r="F157" s="5" t="str">
        <f t="shared" si="11"/>
        <v/>
      </c>
      <c r="G157" s="138"/>
      <c r="H157" s="6" t="str">
        <f t="shared" si="13"/>
        <v/>
      </c>
      <c r="I157" s="140"/>
      <c r="J157" s="106" t="str">
        <f t="shared" si="16"/>
        <v/>
      </c>
      <c r="K157" s="134" t="str">
        <f>IF(J157="INS25",J157&amp;TEXT(COUNTIF($J$2:J157,"INS25"),"000"),IF(J157="C",J157&amp;TEXT(COUNTIF($J$2:J157,"C"),"000"),IF(J157="R",J157&amp;TEXT(COUNTIF($J$2:J157,"R"),"000"),IF(J157="A",J157&amp;TEXT(COUNTIF($J$2:J157,"A"),"000"),IF(J157="F",J157&amp;TEXT(COUNTIF($J$2:J157,"F"),"000"),IF(J157="M",J157&amp;TEXT(COUNTIF($J$2:J157,"M"),"000"),IF(J157="INS26",J157&amp;TEXT(COUNTIF($J$2:J157,"INS26"),"000"),"")))))))</f>
        <v/>
      </c>
    </row>
    <row r="158" spans="1:11" ht="15.75" customHeight="1">
      <c r="A158" s="135" t="str">
        <f t="shared" si="15"/>
        <v/>
      </c>
      <c r="B158" s="136"/>
      <c r="C158" s="5" t="str">
        <f t="shared" si="14"/>
        <v/>
      </c>
      <c r="D158" s="137"/>
      <c r="E158" s="5" t="str">
        <f t="shared" si="12"/>
        <v/>
      </c>
      <c r="F158" s="5" t="str">
        <f t="shared" si="11"/>
        <v/>
      </c>
      <c r="G158" s="138"/>
      <c r="H158" s="6" t="str">
        <f t="shared" si="13"/>
        <v/>
      </c>
      <c r="I158" s="140"/>
      <c r="J158" s="106" t="str">
        <f t="shared" si="16"/>
        <v/>
      </c>
      <c r="K158" s="134" t="str">
        <f>IF(J158="INS25",J158&amp;TEXT(COUNTIF($J$2:J158,"INS25"),"000"),IF(J158="C",J158&amp;TEXT(COUNTIF($J$2:J158,"C"),"000"),IF(J158="R",J158&amp;TEXT(COUNTIF($J$2:J158,"R"),"000"),IF(J158="A",J158&amp;TEXT(COUNTIF($J$2:J158,"A"),"000"),IF(J158="F",J158&amp;TEXT(COUNTIF($J$2:J158,"F"),"000"),IF(J158="M",J158&amp;TEXT(COUNTIF($J$2:J158,"M"),"000"),IF(J158="INS26",J158&amp;TEXT(COUNTIF($J$2:J158,"INS26"),"000"),"")))))))</f>
        <v/>
      </c>
    </row>
    <row r="159" spans="1:11" ht="15.75" customHeight="1">
      <c r="A159" s="135" t="str">
        <f t="shared" si="15"/>
        <v/>
      </c>
      <c r="B159" s="136"/>
      <c r="C159" s="5" t="str">
        <f t="shared" si="14"/>
        <v/>
      </c>
      <c r="D159" s="137"/>
      <c r="E159" s="5" t="str">
        <f t="shared" si="12"/>
        <v/>
      </c>
      <c r="F159" s="5" t="str">
        <f t="shared" si="11"/>
        <v/>
      </c>
      <c r="G159" s="138"/>
      <c r="H159" s="6" t="str">
        <f t="shared" si="13"/>
        <v/>
      </c>
      <c r="I159" s="140"/>
      <c r="J159" s="106" t="str">
        <f t="shared" si="16"/>
        <v/>
      </c>
      <c r="K159" s="134" t="str">
        <f>IF(J159="INS25",J159&amp;TEXT(COUNTIF($J$2:J159,"INS25"),"000"),IF(J159="C",J159&amp;TEXT(COUNTIF($J$2:J159,"C"),"000"),IF(J159="R",J159&amp;TEXT(COUNTIF($J$2:J159,"R"),"000"),IF(J159="A",J159&amp;TEXT(COUNTIF($J$2:J159,"A"),"000"),IF(J159="F",J159&amp;TEXT(COUNTIF($J$2:J159,"F"),"000"),IF(J159="M",J159&amp;TEXT(COUNTIF($J$2:J159,"M"),"000"),IF(J159="INS26",J159&amp;TEXT(COUNTIF($J$2:J159,"INS26"),"000"),"")))))))</f>
        <v/>
      </c>
    </row>
    <row r="160" spans="1:11" ht="15.75" customHeight="1">
      <c r="A160" s="135" t="str">
        <f t="shared" si="15"/>
        <v/>
      </c>
      <c r="B160" s="136"/>
      <c r="C160" s="5" t="str">
        <f t="shared" si="14"/>
        <v/>
      </c>
      <c r="D160" s="137"/>
      <c r="E160" s="5" t="str">
        <f t="shared" si="12"/>
        <v/>
      </c>
      <c r="F160" s="5" t="str">
        <f t="shared" si="11"/>
        <v/>
      </c>
      <c r="G160" s="138"/>
      <c r="H160" s="6" t="str">
        <f t="shared" si="13"/>
        <v/>
      </c>
      <c r="I160" s="140"/>
      <c r="J160" s="106" t="str">
        <f t="shared" si="16"/>
        <v/>
      </c>
      <c r="K160" s="134" t="str">
        <f>IF(J160="INS25",J160&amp;TEXT(COUNTIF($J$2:J160,"INS25"),"000"),IF(J160="C",J160&amp;TEXT(COUNTIF($J$2:J160,"C"),"000"),IF(J160="R",J160&amp;TEXT(COUNTIF($J$2:J160,"R"),"000"),IF(J160="A",J160&amp;TEXT(COUNTIF($J$2:J160,"A"),"000"),IF(J160="F",J160&amp;TEXT(COUNTIF($J$2:J160,"F"),"000"),IF(J160="M",J160&amp;TEXT(COUNTIF($J$2:J160,"M"),"000"),IF(J160="INS26",J160&amp;TEXT(COUNTIF($J$2:J160,"INS26"),"000"),"")))))))</f>
        <v/>
      </c>
    </row>
    <row r="161" spans="1:11" ht="15.75" customHeight="1">
      <c r="A161" s="135" t="str">
        <f t="shared" si="15"/>
        <v/>
      </c>
      <c r="B161" s="136"/>
      <c r="C161" s="5" t="str">
        <f t="shared" si="14"/>
        <v/>
      </c>
      <c r="D161" s="137"/>
      <c r="E161" s="5" t="str">
        <f t="shared" si="12"/>
        <v/>
      </c>
      <c r="F161" s="5" t="str">
        <f t="shared" si="11"/>
        <v/>
      </c>
      <c r="G161" s="138"/>
      <c r="H161" s="6" t="str">
        <f t="shared" si="13"/>
        <v/>
      </c>
      <c r="I161" s="140"/>
      <c r="J161" s="106" t="str">
        <f t="shared" si="16"/>
        <v/>
      </c>
      <c r="K161" s="134" t="str">
        <f>IF(J161="INS25",J161&amp;TEXT(COUNTIF($J$2:J161,"INS25"),"000"),IF(J161="C",J161&amp;TEXT(COUNTIF($J$2:J161,"C"),"000"),IF(J161="R",J161&amp;TEXT(COUNTIF($J$2:J161,"R"),"000"),IF(J161="A",J161&amp;TEXT(COUNTIF($J$2:J161,"A"),"000"),IF(J161="F",J161&amp;TEXT(COUNTIF($J$2:J161,"F"),"000"),IF(J161="M",J161&amp;TEXT(COUNTIF($J$2:J161,"M"),"000"),IF(J161="INS26",J161&amp;TEXT(COUNTIF($J$2:J161,"INS26"),"000"),"")))))))</f>
        <v/>
      </c>
    </row>
    <row r="162" spans="1:11" ht="15.75" customHeight="1">
      <c r="A162" s="135" t="str">
        <f t="shared" si="15"/>
        <v/>
      </c>
      <c r="B162" s="136"/>
      <c r="C162" s="5" t="str">
        <f t="shared" si="14"/>
        <v/>
      </c>
      <c r="D162" s="137"/>
      <c r="E162" s="5" t="str">
        <f t="shared" si="12"/>
        <v/>
      </c>
      <c r="F162" s="5" t="str">
        <f t="shared" si="11"/>
        <v/>
      </c>
      <c r="G162" s="138"/>
      <c r="H162" s="6" t="str">
        <f t="shared" si="13"/>
        <v/>
      </c>
      <c r="I162" s="140"/>
      <c r="J162" s="106" t="str">
        <f t="shared" si="16"/>
        <v/>
      </c>
      <c r="K162" s="134" t="str">
        <f>IF(J162="INS25",J162&amp;TEXT(COUNTIF($J$2:J162,"INS25"),"000"),IF(J162="C",J162&amp;TEXT(COUNTIF($J$2:J162,"C"),"000"),IF(J162="R",J162&amp;TEXT(COUNTIF($J$2:J162,"R"),"000"),IF(J162="A",J162&amp;TEXT(COUNTIF($J$2:J162,"A"),"000"),IF(J162="F",J162&amp;TEXT(COUNTIF($J$2:J162,"F"),"000"),IF(J162="M",J162&amp;TEXT(COUNTIF($J$2:J162,"M"),"000"),IF(J162="INS26",J162&amp;TEXT(COUNTIF($J$2:J162,"INS26"),"000"),"")))))))</f>
        <v/>
      </c>
    </row>
    <row r="163" spans="1:11" ht="15.75" customHeight="1">
      <c r="A163" s="135" t="str">
        <f t="shared" si="15"/>
        <v/>
      </c>
      <c r="B163" s="136"/>
      <c r="C163" s="5" t="str">
        <f t="shared" si="14"/>
        <v/>
      </c>
      <c r="D163" s="137"/>
      <c r="E163" s="5" t="str">
        <f t="shared" si="12"/>
        <v/>
      </c>
      <c r="F163" s="5" t="str">
        <f t="shared" si="11"/>
        <v/>
      </c>
      <c r="G163" s="138"/>
      <c r="H163" s="6" t="str">
        <f t="shared" si="13"/>
        <v/>
      </c>
      <c r="I163" s="140"/>
      <c r="J163" s="106" t="str">
        <f t="shared" si="16"/>
        <v/>
      </c>
      <c r="K163" s="134" t="str">
        <f>IF(J163="INS25",J163&amp;TEXT(COUNTIF($J$2:J163,"INS25"),"000"),IF(J163="C",J163&amp;TEXT(COUNTIF($J$2:J163,"C"),"000"),IF(J163="R",J163&amp;TEXT(COUNTIF($J$2:J163,"R"),"000"),IF(J163="A",J163&amp;TEXT(COUNTIF($J$2:J163,"A"),"000"),IF(J163="F",J163&amp;TEXT(COUNTIF($J$2:J163,"F"),"000"),IF(J163="M",J163&amp;TEXT(COUNTIF($J$2:J163,"M"),"000"),IF(J163="INS26",J163&amp;TEXT(COUNTIF($J$2:J163,"INS26"),"000"),"")))))))</f>
        <v/>
      </c>
    </row>
    <row r="164" spans="1:11" ht="15.75" customHeight="1">
      <c r="A164" s="135" t="str">
        <f t="shared" si="15"/>
        <v/>
      </c>
      <c r="B164" s="136"/>
      <c r="C164" s="5" t="str">
        <f t="shared" si="14"/>
        <v/>
      </c>
      <c r="D164" s="137"/>
      <c r="E164" s="5" t="str">
        <f t="shared" si="12"/>
        <v/>
      </c>
      <c r="F164" s="5" t="str">
        <f t="shared" si="11"/>
        <v/>
      </c>
      <c r="G164" s="138"/>
      <c r="H164" s="6" t="str">
        <f t="shared" si="13"/>
        <v/>
      </c>
      <c r="I164" s="140"/>
      <c r="J164" s="106" t="str">
        <f t="shared" si="16"/>
        <v/>
      </c>
      <c r="K164" s="134" t="str">
        <f>IF(J164="INS25",J164&amp;TEXT(COUNTIF($J$2:J164,"INS25"),"000"),IF(J164="C",J164&amp;TEXT(COUNTIF($J$2:J164,"C"),"000"),IF(J164="R",J164&amp;TEXT(COUNTIF($J$2:J164,"R"),"000"),IF(J164="A",J164&amp;TEXT(COUNTIF($J$2:J164,"A"),"000"),IF(J164="F",J164&amp;TEXT(COUNTIF($J$2:J164,"F"),"000"),IF(J164="M",J164&amp;TEXT(COUNTIF($J$2:J164,"M"),"000"),IF(J164="INS26",J164&amp;TEXT(COUNTIF($J$2:J164,"INS26"),"000"),"")))))))</f>
        <v/>
      </c>
    </row>
    <row r="165" spans="1:11" ht="15.75" customHeight="1">
      <c r="A165" s="135" t="str">
        <f t="shared" si="15"/>
        <v/>
      </c>
      <c r="B165" s="136"/>
      <c r="C165" s="5" t="str">
        <f t="shared" si="14"/>
        <v/>
      </c>
      <c r="D165" s="137"/>
      <c r="E165" s="5" t="str">
        <f t="shared" si="12"/>
        <v/>
      </c>
      <c r="F165" s="5" t="str">
        <f t="shared" si="11"/>
        <v/>
      </c>
      <c r="G165" s="138"/>
      <c r="H165" s="6" t="str">
        <f t="shared" si="13"/>
        <v/>
      </c>
      <c r="I165" s="140"/>
      <c r="J165" s="106" t="str">
        <f t="shared" si="16"/>
        <v/>
      </c>
      <c r="K165" s="134" t="str">
        <f>IF(J165="INS25",J165&amp;TEXT(COUNTIF($J$2:J165,"INS25"),"000"),IF(J165="C",J165&amp;TEXT(COUNTIF($J$2:J165,"C"),"000"),IF(J165="R",J165&amp;TEXT(COUNTIF($J$2:J165,"R"),"000"),IF(J165="A",J165&amp;TEXT(COUNTIF($J$2:J165,"A"),"000"),IF(J165="F",J165&amp;TEXT(COUNTIF($J$2:J165,"F"),"000"),IF(J165="M",J165&amp;TEXT(COUNTIF($J$2:J165,"M"),"000"),IF(J165="INS26",J165&amp;TEXT(COUNTIF($J$2:J165,"INS26"),"000"),"")))))))</f>
        <v/>
      </c>
    </row>
    <row r="166" spans="1:11" ht="15.75" customHeight="1">
      <c r="A166" s="135" t="str">
        <f t="shared" si="15"/>
        <v/>
      </c>
      <c r="B166" s="136"/>
      <c r="C166" s="5" t="str">
        <f t="shared" si="14"/>
        <v/>
      </c>
      <c r="D166" s="137"/>
      <c r="E166" s="5" t="str">
        <f t="shared" si="12"/>
        <v/>
      </c>
      <c r="F166" s="5" t="str">
        <f t="shared" si="11"/>
        <v/>
      </c>
      <c r="G166" s="138"/>
      <c r="H166" s="6" t="str">
        <f t="shared" si="13"/>
        <v/>
      </c>
      <c r="I166" s="140"/>
      <c r="J166" s="106" t="str">
        <f t="shared" si="16"/>
        <v/>
      </c>
      <c r="K166" s="134" t="str">
        <f>IF(J166="INS25",J166&amp;TEXT(COUNTIF($J$2:J166,"INS25"),"000"),IF(J166="C",J166&amp;TEXT(COUNTIF($J$2:J166,"C"),"000"),IF(J166="R",J166&amp;TEXT(COUNTIF($J$2:J166,"R"),"000"),IF(J166="A",J166&amp;TEXT(COUNTIF($J$2:J166,"A"),"000"),IF(J166="F",J166&amp;TEXT(COUNTIF($J$2:J166,"F"),"000"),IF(J166="M",J166&amp;TEXT(COUNTIF($J$2:J166,"M"),"000"),IF(J166="INS26",J166&amp;TEXT(COUNTIF($J$2:J166,"INS26"),"000"),"")))))))</f>
        <v/>
      </c>
    </row>
    <row r="167" spans="1:11" ht="15.75" customHeight="1">
      <c r="A167" s="135" t="str">
        <f t="shared" si="15"/>
        <v/>
      </c>
      <c r="B167" s="136"/>
      <c r="C167" s="5" t="str">
        <f t="shared" si="14"/>
        <v/>
      </c>
      <c r="D167" s="137"/>
      <c r="E167" s="5" t="str">
        <f t="shared" si="12"/>
        <v/>
      </c>
      <c r="F167" s="5" t="str">
        <f t="shared" si="11"/>
        <v/>
      </c>
      <c r="G167" s="138"/>
      <c r="H167" s="6" t="str">
        <f t="shared" si="13"/>
        <v/>
      </c>
      <c r="I167" s="140"/>
      <c r="J167" s="106" t="str">
        <f t="shared" si="16"/>
        <v/>
      </c>
      <c r="K167" s="134" t="str">
        <f>IF(J167="INS25",J167&amp;TEXT(COUNTIF($J$2:J167,"INS25"),"000"),IF(J167="C",J167&amp;TEXT(COUNTIF($J$2:J167,"C"),"000"),IF(J167="R",J167&amp;TEXT(COUNTIF($J$2:J167,"R"),"000"),IF(J167="A",J167&amp;TEXT(COUNTIF($J$2:J167,"A"),"000"),IF(J167="F",J167&amp;TEXT(COUNTIF($J$2:J167,"F"),"000"),IF(J167="M",J167&amp;TEXT(COUNTIF($J$2:J167,"M"),"000"),IF(J167="INS26",J167&amp;TEXT(COUNTIF($J$2:J167,"INS26"),"000"),"")))))))</f>
        <v/>
      </c>
    </row>
    <row r="168" spans="1:11" ht="15.75" customHeight="1">
      <c r="A168" s="135" t="str">
        <f t="shared" si="15"/>
        <v/>
      </c>
      <c r="B168" s="136"/>
      <c r="C168" s="5" t="str">
        <f t="shared" si="14"/>
        <v/>
      </c>
      <c r="D168" s="137"/>
      <c r="E168" s="5" t="str">
        <f t="shared" si="12"/>
        <v/>
      </c>
      <c r="F168" s="5" t="str">
        <f t="shared" si="11"/>
        <v/>
      </c>
      <c r="G168" s="138"/>
      <c r="H168" s="6" t="str">
        <f t="shared" si="13"/>
        <v/>
      </c>
      <c r="I168" s="140"/>
      <c r="J168" s="106" t="str">
        <f t="shared" si="16"/>
        <v/>
      </c>
      <c r="K168" s="134" t="str">
        <f>IF(J168="INS25",J168&amp;TEXT(COUNTIF($J$2:J168,"INS25"),"000"),IF(J168="C",J168&amp;TEXT(COUNTIF($J$2:J168,"C"),"000"),IF(J168="R",J168&amp;TEXT(COUNTIF($J$2:J168,"R"),"000"),IF(J168="A",J168&amp;TEXT(COUNTIF($J$2:J168,"A"),"000"),IF(J168="F",J168&amp;TEXT(COUNTIF($J$2:J168,"F"),"000"),IF(J168="M",J168&amp;TEXT(COUNTIF($J$2:J168,"M"),"000"),IF(J168="INS26",J168&amp;TEXT(COUNTIF($J$2:J168,"INS26"),"000"),"")))))))</f>
        <v/>
      </c>
    </row>
    <row r="169" spans="1:11" ht="15.75" customHeight="1">
      <c r="A169" s="135" t="str">
        <f t="shared" si="15"/>
        <v/>
      </c>
      <c r="B169" s="136"/>
      <c r="C169" s="5" t="str">
        <f t="shared" si="14"/>
        <v/>
      </c>
      <c r="D169" s="137"/>
      <c r="E169" s="5" t="str">
        <f t="shared" si="12"/>
        <v/>
      </c>
      <c r="F169" s="5" t="str">
        <f t="shared" si="11"/>
        <v/>
      </c>
      <c r="G169" s="138"/>
      <c r="H169" s="6" t="str">
        <f t="shared" si="13"/>
        <v/>
      </c>
      <c r="I169" s="140"/>
      <c r="J169" s="106" t="str">
        <f t="shared" si="16"/>
        <v/>
      </c>
      <c r="K169" s="134" t="str">
        <f>IF(J169="INS25",J169&amp;TEXT(COUNTIF($J$2:J169,"INS25"),"000"),IF(J169="C",J169&amp;TEXT(COUNTIF($J$2:J169,"C"),"000"),IF(J169="R",J169&amp;TEXT(COUNTIF($J$2:J169,"R"),"000"),IF(J169="A",J169&amp;TEXT(COUNTIF($J$2:J169,"A"),"000"),IF(J169="F",J169&amp;TEXT(COUNTIF($J$2:J169,"F"),"000"),IF(J169="M",J169&amp;TEXT(COUNTIF($J$2:J169,"M"),"000"),IF(J169="INS26",J169&amp;TEXT(COUNTIF($J$2:J169,"INS26"),"000"),"")))))))</f>
        <v/>
      </c>
    </row>
    <row r="170" spans="1:11" ht="15.75" customHeight="1">
      <c r="A170" s="135" t="str">
        <f t="shared" si="15"/>
        <v/>
      </c>
      <c r="B170" s="136"/>
      <c r="C170" s="5" t="str">
        <f t="shared" si="14"/>
        <v/>
      </c>
      <c r="D170" s="137"/>
      <c r="E170" s="5" t="str">
        <f t="shared" si="12"/>
        <v/>
      </c>
      <c r="F170" s="5" t="str">
        <f t="shared" si="11"/>
        <v/>
      </c>
      <c r="G170" s="138"/>
      <c r="H170" s="6" t="str">
        <f t="shared" si="13"/>
        <v/>
      </c>
      <c r="I170" s="140"/>
      <c r="J170" s="106" t="str">
        <f t="shared" si="16"/>
        <v/>
      </c>
      <c r="K170" s="134" t="str">
        <f>IF(J170="INS25",J170&amp;TEXT(COUNTIF($J$2:J170,"INS25"),"000"),IF(J170="C",J170&amp;TEXT(COUNTIF($J$2:J170,"C"),"000"),IF(J170="R",J170&amp;TEXT(COUNTIF($J$2:J170,"R"),"000"),IF(J170="A",J170&amp;TEXT(COUNTIF($J$2:J170,"A"),"000"),IF(J170="F",J170&amp;TEXT(COUNTIF($J$2:J170,"F"),"000"),IF(J170="M",J170&amp;TEXT(COUNTIF($J$2:J170,"M"),"000"),IF(J170="INS26",J170&amp;TEXT(COUNTIF($J$2:J170,"INS26"),"000"),"")))))))</f>
        <v/>
      </c>
    </row>
    <row r="171" spans="1:11" ht="15.75" customHeight="1">
      <c r="A171" s="135" t="str">
        <f t="shared" si="15"/>
        <v/>
      </c>
      <c r="B171" s="136"/>
      <c r="C171" s="5" t="str">
        <f t="shared" si="14"/>
        <v/>
      </c>
      <c r="D171" s="137"/>
      <c r="E171" s="5" t="str">
        <f t="shared" si="12"/>
        <v/>
      </c>
      <c r="F171" s="5" t="str">
        <f t="shared" si="11"/>
        <v/>
      </c>
      <c r="G171" s="138"/>
      <c r="H171" s="6" t="str">
        <f t="shared" si="13"/>
        <v/>
      </c>
      <c r="I171" s="140"/>
      <c r="J171" s="106" t="str">
        <f t="shared" si="16"/>
        <v/>
      </c>
      <c r="K171" s="134" t="str">
        <f>IF(J171="INS25",J171&amp;TEXT(COUNTIF($J$2:J171,"INS25"),"000"),IF(J171="C",J171&amp;TEXT(COUNTIF($J$2:J171,"C"),"000"),IF(J171="R",J171&amp;TEXT(COUNTIF($J$2:J171,"R"),"000"),IF(J171="A",J171&amp;TEXT(COUNTIF($J$2:J171,"A"),"000"),IF(J171="F",J171&amp;TEXT(COUNTIF($J$2:J171,"F"),"000"),IF(J171="M",J171&amp;TEXT(COUNTIF($J$2:J171,"M"),"000"),IF(J171="INS26",J171&amp;TEXT(COUNTIF($J$2:J171,"INS26"),"000"),"")))))))</f>
        <v/>
      </c>
    </row>
    <row r="172" spans="1:11" ht="15.75" customHeight="1">
      <c r="A172" s="135" t="str">
        <f t="shared" si="15"/>
        <v/>
      </c>
      <c r="B172" s="136"/>
      <c r="C172" s="5" t="str">
        <f t="shared" si="14"/>
        <v/>
      </c>
      <c r="D172" s="137"/>
      <c r="E172" s="5" t="str">
        <f t="shared" si="12"/>
        <v/>
      </c>
      <c r="F172" s="5" t="str">
        <f t="shared" si="11"/>
        <v/>
      </c>
      <c r="G172" s="138"/>
      <c r="H172" s="6" t="str">
        <f t="shared" si="13"/>
        <v/>
      </c>
      <c r="I172" s="140"/>
      <c r="J172" s="106" t="str">
        <f t="shared" si="16"/>
        <v/>
      </c>
      <c r="K172" s="134" t="str">
        <f>IF(J172="INS25",J172&amp;TEXT(COUNTIF($J$2:J172,"INS25"),"000"),IF(J172="C",J172&amp;TEXT(COUNTIF($J$2:J172,"C"),"000"),IF(J172="R",J172&amp;TEXT(COUNTIF($J$2:J172,"R"),"000"),IF(J172="A",J172&amp;TEXT(COUNTIF($J$2:J172,"A"),"000"),IF(J172="F",J172&amp;TEXT(COUNTIF($J$2:J172,"F"),"000"),IF(J172="M",J172&amp;TEXT(COUNTIF($J$2:J172,"M"),"000"),IF(J172="INS26",J172&amp;TEXT(COUNTIF($J$2:J172,"INS26"),"000"),"")))))))</f>
        <v/>
      </c>
    </row>
    <row r="173" spans="1:11" ht="15.75" customHeight="1">
      <c r="A173" s="135" t="str">
        <f t="shared" si="15"/>
        <v/>
      </c>
      <c r="B173" s="136"/>
      <c r="C173" s="5" t="str">
        <f t="shared" si="14"/>
        <v/>
      </c>
      <c r="D173" s="137"/>
      <c r="E173" s="5" t="str">
        <f t="shared" si="12"/>
        <v/>
      </c>
      <c r="F173" s="5" t="str">
        <f t="shared" si="11"/>
        <v/>
      </c>
      <c r="G173" s="138"/>
      <c r="H173" s="6" t="str">
        <f t="shared" si="13"/>
        <v/>
      </c>
      <c r="I173" s="140"/>
      <c r="J173" s="106" t="str">
        <f t="shared" si="16"/>
        <v/>
      </c>
      <c r="K173" s="134" t="str">
        <f>IF(J173="INS25",J173&amp;TEXT(COUNTIF($J$2:J173,"INS25"),"000"),IF(J173="C",J173&amp;TEXT(COUNTIF($J$2:J173,"C"),"000"),IF(J173="R",J173&amp;TEXT(COUNTIF($J$2:J173,"R"),"000"),IF(J173="A",J173&amp;TEXT(COUNTIF($J$2:J173,"A"),"000"),IF(J173="F",J173&amp;TEXT(COUNTIF($J$2:J173,"F"),"000"),IF(J173="M",J173&amp;TEXT(COUNTIF($J$2:J173,"M"),"000"),IF(J173="INS26",J173&amp;TEXT(COUNTIF($J$2:J173,"INS26"),"000"),"")))))))</f>
        <v/>
      </c>
    </row>
    <row r="174" spans="1:11" ht="15.75" customHeight="1">
      <c r="A174" s="135" t="str">
        <f t="shared" si="15"/>
        <v/>
      </c>
      <c r="B174" s="136"/>
      <c r="C174" s="5" t="str">
        <f t="shared" si="14"/>
        <v/>
      </c>
      <c r="D174" s="137"/>
      <c r="E174" s="5" t="str">
        <f t="shared" si="12"/>
        <v/>
      </c>
      <c r="F174" s="5" t="str">
        <f t="shared" si="11"/>
        <v/>
      </c>
      <c r="G174" s="138"/>
      <c r="H174" s="6" t="str">
        <f t="shared" si="13"/>
        <v/>
      </c>
      <c r="I174" s="140"/>
      <c r="J174" s="106" t="str">
        <f t="shared" si="16"/>
        <v/>
      </c>
      <c r="K174" s="134" t="str">
        <f>IF(J174="INS25",J174&amp;TEXT(COUNTIF($J$2:J174,"INS25"),"000"),IF(J174="C",J174&amp;TEXT(COUNTIF($J$2:J174,"C"),"000"),IF(J174="R",J174&amp;TEXT(COUNTIF($J$2:J174,"R"),"000"),IF(J174="A",J174&amp;TEXT(COUNTIF($J$2:J174,"A"),"000"),IF(J174="F",J174&amp;TEXT(COUNTIF($J$2:J174,"F"),"000"),IF(J174="M",J174&amp;TEXT(COUNTIF($J$2:J174,"M"),"000"),IF(J174="INS26",J174&amp;TEXT(COUNTIF($J$2:J174,"INS26"),"000"),"")))))))</f>
        <v/>
      </c>
    </row>
    <row r="175" spans="1:11" ht="15.75" customHeight="1">
      <c r="A175" s="135" t="str">
        <f t="shared" si="15"/>
        <v/>
      </c>
      <c r="B175" s="136"/>
      <c r="C175" s="5" t="str">
        <f t="shared" si="14"/>
        <v/>
      </c>
      <c r="D175" s="137"/>
      <c r="E175" s="5" t="str">
        <f t="shared" si="12"/>
        <v/>
      </c>
      <c r="F175" s="5" t="str">
        <f t="shared" si="11"/>
        <v/>
      </c>
      <c r="G175" s="138"/>
      <c r="H175" s="6" t="str">
        <f t="shared" si="13"/>
        <v/>
      </c>
      <c r="I175" s="140"/>
      <c r="J175" s="106" t="str">
        <f t="shared" si="16"/>
        <v/>
      </c>
      <c r="K175" s="134" t="str">
        <f>IF(J175="INS25",J175&amp;TEXT(COUNTIF($J$2:J175,"INS25"),"000"),IF(J175="C",J175&amp;TEXT(COUNTIF($J$2:J175,"C"),"000"),IF(J175="R",J175&amp;TEXT(COUNTIF($J$2:J175,"R"),"000"),IF(J175="A",J175&amp;TEXT(COUNTIF($J$2:J175,"A"),"000"),IF(J175="F",J175&amp;TEXT(COUNTIF($J$2:J175,"F"),"000"),IF(J175="M",J175&amp;TEXT(COUNTIF($J$2:J175,"M"),"000"),IF(J175="INS26",J175&amp;TEXT(COUNTIF($J$2:J175,"INS26"),"000"),"")))))))</f>
        <v/>
      </c>
    </row>
    <row r="176" spans="1:11" ht="15.75" customHeight="1">
      <c r="A176" s="135" t="str">
        <f t="shared" si="15"/>
        <v/>
      </c>
      <c r="B176" s="136"/>
      <c r="C176" s="5" t="str">
        <f t="shared" si="14"/>
        <v/>
      </c>
      <c r="D176" s="137"/>
      <c r="E176" s="5" t="str">
        <f t="shared" si="12"/>
        <v/>
      </c>
      <c r="F176" s="5" t="str">
        <f t="shared" si="11"/>
        <v/>
      </c>
      <c r="G176" s="138"/>
      <c r="H176" s="6" t="str">
        <f t="shared" si="13"/>
        <v/>
      </c>
      <c r="I176" s="140"/>
      <c r="J176" s="106" t="str">
        <f t="shared" si="16"/>
        <v/>
      </c>
      <c r="K176" s="134" t="str">
        <f>IF(J176="INS25",J176&amp;TEXT(COUNTIF($J$2:J176,"INS25"),"000"),IF(J176="C",J176&amp;TEXT(COUNTIF($J$2:J176,"C"),"000"),IF(J176="R",J176&amp;TEXT(COUNTIF($J$2:J176,"R"),"000"),IF(J176="A",J176&amp;TEXT(COUNTIF($J$2:J176,"A"),"000"),IF(J176="F",J176&amp;TEXT(COUNTIF($J$2:J176,"F"),"000"),IF(J176="M",J176&amp;TEXT(COUNTIF($J$2:J176,"M"),"000"),IF(J176="INS26",J176&amp;TEXT(COUNTIF($J$2:J176,"INS26"),"000"),"")))))))</f>
        <v/>
      </c>
    </row>
    <row r="177" spans="1:11" ht="15.75" customHeight="1">
      <c r="A177" s="135" t="str">
        <f t="shared" si="15"/>
        <v/>
      </c>
      <c r="B177" s="136"/>
      <c r="C177" s="5" t="str">
        <f t="shared" si="14"/>
        <v/>
      </c>
      <c r="D177" s="137"/>
      <c r="E177" s="5" t="str">
        <f t="shared" si="12"/>
        <v/>
      </c>
      <c r="F177" s="5" t="str">
        <f t="shared" si="11"/>
        <v/>
      </c>
      <c r="G177" s="138"/>
      <c r="H177" s="6" t="str">
        <f t="shared" si="13"/>
        <v/>
      </c>
      <c r="I177" s="140"/>
      <c r="J177" s="106" t="str">
        <f t="shared" si="16"/>
        <v/>
      </c>
      <c r="K177" s="134" t="str">
        <f>IF(J177="INS25",J177&amp;TEXT(COUNTIF($J$2:J177,"INS25"),"000"),IF(J177="C",J177&amp;TEXT(COUNTIF($J$2:J177,"C"),"000"),IF(J177="R",J177&amp;TEXT(COUNTIF($J$2:J177,"R"),"000"),IF(J177="A",J177&amp;TEXT(COUNTIF($J$2:J177,"A"),"000"),IF(J177="F",J177&amp;TEXT(COUNTIF($J$2:J177,"F"),"000"),IF(J177="M",J177&amp;TEXT(COUNTIF($J$2:J177,"M"),"000"),IF(J177="INS26",J177&amp;TEXT(COUNTIF($J$2:J177,"INS26"),"000"),"")))))))</f>
        <v/>
      </c>
    </row>
    <row r="178" spans="1:11" ht="15.75" customHeight="1">
      <c r="A178" s="135" t="str">
        <f t="shared" si="15"/>
        <v/>
      </c>
      <c r="B178" s="136"/>
      <c r="C178" s="5" t="str">
        <f t="shared" si="14"/>
        <v/>
      </c>
      <c r="D178" s="137"/>
      <c r="E178" s="5" t="str">
        <f t="shared" si="12"/>
        <v/>
      </c>
      <c r="F178" s="5" t="str">
        <f t="shared" si="11"/>
        <v/>
      </c>
      <c r="G178" s="138"/>
      <c r="H178" s="6" t="str">
        <f t="shared" si="13"/>
        <v/>
      </c>
      <c r="I178" s="140"/>
      <c r="J178" s="106" t="str">
        <f t="shared" si="16"/>
        <v/>
      </c>
      <c r="K178" s="134" t="str">
        <f>IF(J178="INS25",J178&amp;TEXT(COUNTIF($J$2:J178,"INS25"),"000"),IF(J178="C",J178&amp;TEXT(COUNTIF($J$2:J178,"C"),"000"),IF(J178="R",J178&amp;TEXT(COUNTIF($J$2:J178,"R"),"000"),IF(J178="A",J178&amp;TEXT(COUNTIF($J$2:J178,"A"),"000"),IF(J178="F",J178&amp;TEXT(COUNTIF($J$2:J178,"F"),"000"),IF(J178="M",J178&amp;TEXT(COUNTIF($J$2:J178,"M"),"000"),IF(J178="INS26",J178&amp;TEXT(COUNTIF($J$2:J178,"INS26"),"000"),"")))))))</f>
        <v/>
      </c>
    </row>
    <row r="179" spans="1:11" ht="15.75" customHeight="1">
      <c r="A179" s="135" t="str">
        <f t="shared" si="15"/>
        <v/>
      </c>
      <c r="B179" s="136"/>
      <c r="C179" s="5" t="str">
        <f t="shared" si="14"/>
        <v/>
      </c>
      <c r="D179" s="137"/>
      <c r="E179" s="5" t="str">
        <f t="shared" si="12"/>
        <v/>
      </c>
      <c r="F179" s="5" t="str">
        <f t="shared" si="11"/>
        <v/>
      </c>
      <c r="G179" s="138"/>
      <c r="H179" s="6" t="str">
        <f t="shared" si="13"/>
        <v/>
      </c>
      <c r="I179" s="140"/>
      <c r="J179" s="106" t="str">
        <f t="shared" si="16"/>
        <v/>
      </c>
      <c r="K179" s="134" t="str">
        <f>IF(J179="INS25",J179&amp;TEXT(COUNTIF($J$2:J179,"INS25"),"000"),IF(J179="C",J179&amp;TEXT(COUNTIF($J$2:J179,"C"),"000"),IF(J179="R",J179&amp;TEXT(COUNTIF($J$2:J179,"R"),"000"),IF(J179="A",J179&amp;TEXT(COUNTIF($J$2:J179,"A"),"000"),IF(J179="F",J179&amp;TEXT(COUNTIF($J$2:J179,"F"),"000"),IF(J179="M",J179&amp;TEXT(COUNTIF($J$2:J179,"M"),"000"),IF(J179="INS26",J179&amp;TEXT(COUNTIF($J$2:J179,"INS26"),"000"),"")))))))</f>
        <v/>
      </c>
    </row>
    <row r="180" spans="1:11" ht="15.75" customHeight="1">
      <c r="A180" s="135" t="str">
        <f t="shared" si="15"/>
        <v/>
      </c>
      <c r="B180" s="136"/>
      <c r="C180" s="5" t="str">
        <f t="shared" si="14"/>
        <v/>
      </c>
      <c r="D180" s="137"/>
      <c r="E180" s="5" t="str">
        <f t="shared" si="12"/>
        <v/>
      </c>
      <c r="F180" s="5" t="str">
        <f t="shared" si="11"/>
        <v/>
      </c>
      <c r="G180" s="138"/>
      <c r="H180" s="6" t="str">
        <f t="shared" si="13"/>
        <v/>
      </c>
      <c r="I180" s="140"/>
      <c r="J180" s="106" t="str">
        <f t="shared" si="16"/>
        <v/>
      </c>
      <c r="K180" s="134" t="str">
        <f>IF(J180="INS25",J180&amp;TEXT(COUNTIF($J$2:J180,"INS25"),"000"),IF(J180="C",J180&amp;TEXT(COUNTIF($J$2:J180,"C"),"000"),IF(J180="R",J180&amp;TEXT(COUNTIF($J$2:J180,"R"),"000"),IF(J180="A",J180&amp;TEXT(COUNTIF($J$2:J180,"A"),"000"),IF(J180="F",J180&amp;TEXT(COUNTIF($J$2:J180,"F"),"000"),IF(J180="M",J180&amp;TEXT(COUNTIF($J$2:J180,"M"),"000"),IF(J180="INS26",J180&amp;TEXT(COUNTIF($J$2:J180,"INS26"),"000"),"")))))))</f>
        <v/>
      </c>
    </row>
    <row r="181" spans="1:11" ht="15.75" customHeight="1">
      <c r="A181" s="135" t="str">
        <f t="shared" si="15"/>
        <v/>
      </c>
      <c r="B181" s="136"/>
      <c r="C181" s="5" t="str">
        <f t="shared" si="14"/>
        <v/>
      </c>
      <c r="D181" s="137"/>
      <c r="E181" s="5" t="str">
        <f t="shared" si="12"/>
        <v/>
      </c>
      <c r="F181" s="5" t="str">
        <f t="shared" si="11"/>
        <v/>
      </c>
      <c r="G181" s="138"/>
      <c r="H181" s="6" t="str">
        <f t="shared" si="13"/>
        <v/>
      </c>
      <c r="I181" s="140"/>
      <c r="J181" s="106" t="str">
        <f t="shared" si="16"/>
        <v/>
      </c>
      <c r="K181" s="134" t="str">
        <f>IF(J181="INS25",J181&amp;TEXT(COUNTIF($J$2:J181,"INS25"),"000"),IF(J181="C",J181&amp;TEXT(COUNTIF($J$2:J181,"C"),"000"),IF(J181="R",J181&amp;TEXT(COUNTIF($J$2:J181,"R"),"000"),IF(J181="A",J181&amp;TEXT(COUNTIF($J$2:J181,"A"),"000"),IF(J181="F",J181&amp;TEXT(COUNTIF($J$2:J181,"F"),"000"),IF(J181="M",J181&amp;TEXT(COUNTIF($J$2:J181,"M"),"000"),IF(J181="INS26",J181&amp;TEXT(COUNTIF($J$2:J181,"INS26"),"000"),"")))))))</f>
        <v/>
      </c>
    </row>
    <row r="182" spans="1:11" ht="15.75" customHeight="1">
      <c r="A182" s="135" t="str">
        <f t="shared" si="15"/>
        <v/>
      </c>
      <c r="B182" s="136"/>
      <c r="C182" s="5" t="str">
        <f t="shared" si="14"/>
        <v/>
      </c>
      <c r="D182" s="137"/>
      <c r="E182" s="5" t="str">
        <f t="shared" si="12"/>
        <v/>
      </c>
      <c r="F182" s="5" t="str">
        <f t="shared" si="11"/>
        <v/>
      </c>
      <c r="G182" s="138"/>
      <c r="H182" s="6" t="str">
        <f t="shared" si="13"/>
        <v/>
      </c>
      <c r="I182" s="140"/>
      <c r="J182" s="106" t="str">
        <f t="shared" si="16"/>
        <v/>
      </c>
      <c r="K182" s="134" t="str">
        <f>IF(J182="INS25",J182&amp;TEXT(COUNTIF($J$2:J182,"INS25"),"000"),IF(J182="C",J182&amp;TEXT(COUNTIF($J$2:J182,"C"),"000"),IF(J182="R",J182&amp;TEXT(COUNTIF($J$2:J182,"R"),"000"),IF(J182="A",J182&amp;TEXT(COUNTIF($J$2:J182,"A"),"000"),IF(J182="F",J182&amp;TEXT(COUNTIF($J$2:J182,"F"),"000"),IF(J182="M",J182&amp;TEXT(COUNTIF($J$2:J182,"M"),"000"),IF(J182="INS26",J182&amp;TEXT(COUNTIF($J$2:J182,"INS26"),"000"),"")))))))</f>
        <v/>
      </c>
    </row>
    <row r="183" spans="1:11" ht="15.75" customHeight="1">
      <c r="A183" s="135" t="str">
        <f t="shared" si="15"/>
        <v/>
      </c>
      <c r="B183" s="136"/>
      <c r="C183" s="5" t="str">
        <f t="shared" si="14"/>
        <v/>
      </c>
      <c r="D183" s="137"/>
      <c r="E183" s="5" t="str">
        <f t="shared" si="12"/>
        <v/>
      </c>
      <c r="F183" s="5" t="str">
        <f t="shared" si="11"/>
        <v/>
      </c>
      <c r="G183" s="138"/>
      <c r="H183" s="6" t="str">
        <f t="shared" si="13"/>
        <v/>
      </c>
      <c r="I183" s="140"/>
      <c r="J183" s="106" t="str">
        <f t="shared" si="16"/>
        <v/>
      </c>
      <c r="K183" s="134" t="str">
        <f>IF(J183="INS25",J183&amp;TEXT(COUNTIF($J$2:J183,"INS25"),"000"),IF(J183="C",J183&amp;TEXT(COUNTIF($J$2:J183,"C"),"000"),IF(J183="R",J183&amp;TEXT(COUNTIF($J$2:J183,"R"),"000"),IF(J183="A",J183&amp;TEXT(COUNTIF($J$2:J183,"A"),"000"),IF(J183="F",J183&amp;TEXT(COUNTIF($J$2:J183,"F"),"000"),IF(J183="M",J183&amp;TEXT(COUNTIF($J$2:J183,"M"),"000"),IF(J183="INS26",J183&amp;TEXT(COUNTIF($J$2:J183,"INS26"),"000"),"")))))))</f>
        <v/>
      </c>
    </row>
    <row r="184" spans="1:11" ht="15.75" customHeight="1">
      <c r="A184" s="135" t="str">
        <f t="shared" si="15"/>
        <v/>
      </c>
      <c r="B184" s="136"/>
      <c r="C184" s="5" t="str">
        <f t="shared" si="14"/>
        <v/>
      </c>
      <c r="D184" s="137"/>
      <c r="E184" s="5" t="str">
        <f t="shared" si="12"/>
        <v/>
      </c>
      <c r="F184" s="5" t="str">
        <f t="shared" si="11"/>
        <v/>
      </c>
      <c r="G184" s="138"/>
      <c r="H184" s="6" t="str">
        <f t="shared" si="13"/>
        <v/>
      </c>
      <c r="I184" s="140"/>
      <c r="J184" s="106" t="str">
        <f t="shared" si="16"/>
        <v/>
      </c>
      <c r="K184" s="134" t="str">
        <f>IF(J184="INS25",J184&amp;TEXT(COUNTIF($J$2:J184,"INS25"),"000"),IF(J184="C",J184&amp;TEXT(COUNTIF($J$2:J184,"C"),"000"),IF(J184="R",J184&amp;TEXT(COUNTIF($J$2:J184,"R"),"000"),IF(J184="A",J184&amp;TEXT(COUNTIF($J$2:J184,"A"),"000"),IF(J184="F",J184&amp;TEXT(COUNTIF($J$2:J184,"F"),"000"),IF(J184="M",J184&amp;TEXT(COUNTIF($J$2:J184,"M"),"000"),IF(J184="INS26",J184&amp;TEXT(COUNTIF($J$2:J184,"INS26"),"000"),"")))))))</f>
        <v/>
      </c>
    </row>
    <row r="185" spans="1:11" ht="15.75" customHeight="1">
      <c r="A185" s="135" t="str">
        <f t="shared" si="15"/>
        <v/>
      </c>
      <c r="B185" s="136"/>
      <c r="C185" s="5" t="str">
        <f t="shared" si="14"/>
        <v/>
      </c>
      <c r="D185" s="137"/>
      <c r="E185" s="5" t="str">
        <f t="shared" si="12"/>
        <v/>
      </c>
      <c r="F185" s="5" t="str">
        <f t="shared" si="11"/>
        <v/>
      </c>
      <c r="G185" s="138"/>
      <c r="H185" s="6" t="str">
        <f t="shared" si="13"/>
        <v/>
      </c>
      <c r="I185" s="139"/>
      <c r="J185" s="106" t="str">
        <f t="shared" si="16"/>
        <v/>
      </c>
      <c r="K185" s="134" t="str">
        <f>IF(J185="INS25",J185&amp;TEXT(COUNTIF($J$2:J185,"INS25"),"000"),IF(J185="C",J185&amp;TEXT(COUNTIF($J$2:J185,"C"),"000"),IF(J185="R",J185&amp;TEXT(COUNTIF($J$2:J185,"R"),"000"),IF(J185="A",J185&amp;TEXT(COUNTIF($J$2:J185,"A"),"000"),IF(J185="F",J185&amp;TEXT(COUNTIF($J$2:J185,"F"),"000"),IF(J185="M",J185&amp;TEXT(COUNTIF($J$2:J185,"M"),"000"),IF(J185="INS26",J185&amp;TEXT(COUNTIF($J$2:J185,"INS26"),"000"),"")))))))</f>
        <v/>
      </c>
    </row>
    <row r="186" spans="1:11" ht="15.75" customHeight="1">
      <c r="A186" s="135" t="str">
        <f t="shared" si="15"/>
        <v/>
      </c>
      <c r="B186" s="136"/>
      <c r="C186" s="5" t="str">
        <f t="shared" si="14"/>
        <v/>
      </c>
      <c r="D186" s="137"/>
      <c r="E186" s="5" t="str">
        <f t="shared" si="12"/>
        <v/>
      </c>
      <c r="F186" s="5" t="str">
        <f t="shared" si="11"/>
        <v/>
      </c>
      <c r="G186" s="138"/>
      <c r="H186" s="6" t="str">
        <f t="shared" si="13"/>
        <v/>
      </c>
      <c r="I186" s="139"/>
      <c r="J186" s="106" t="str">
        <f t="shared" si="16"/>
        <v/>
      </c>
      <c r="K186" s="134" t="str">
        <f>IF(J186="INS25",J186&amp;TEXT(COUNTIF($J$2:J186,"INS25"),"000"),IF(J186="C",J186&amp;TEXT(COUNTIF($J$2:J186,"C"),"000"),IF(J186="R",J186&amp;TEXT(COUNTIF($J$2:J186,"R"),"000"),IF(J186="A",J186&amp;TEXT(COUNTIF($J$2:J186,"A"),"000"),IF(J186="F",J186&amp;TEXT(COUNTIF($J$2:J186,"F"),"000"),IF(J186="M",J186&amp;TEXT(COUNTIF($J$2:J186,"M"),"000"),IF(J186="INS26",J186&amp;TEXT(COUNTIF($J$2:J186,"INS26"),"000"),"")))))))</f>
        <v/>
      </c>
    </row>
    <row r="187" spans="1:11" ht="15.75" customHeight="1">
      <c r="A187" s="135" t="str">
        <f t="shared" si="15"/>
        <v/>
      </c>
      <c r="B187" s="136"/>
      <c r="C187" s="5" t="str">
        <f t="shared" si="14"/>
        <v/>
      </c>
      <c r="D187" s="137"/>
      <c r="E187" s="5" t="str">
        <f t="shared" si="12"/>
        <v/>
      </c>
      <c r="F187" s="5" t="str">
        <f t="shared" si="11"/>
        <v/>
      </c>
      <c r="G187" s="138"/>
      <c r="H187" s="6" t="str">
        <f t="shared" si="13"/>
        <v/>
      </c>
      <c r="I187" s="139"/>
      <c r="J187" s="106" t="str">
        <f t="shared" si="16"/>
        <v/>
      </c>
      <c r="K187" s="134" t="str">
        <f>IF(J187="INS25",J187&amp;TEXT(COUNTIF($J$2:J187,"INS25"),"000"),IF(J187="C",J187&amp;TEXT(COUNTIF($J$2:J187,"C"),"000"),IF(J187="R",J187&amp;TEXT(COUNTIF($J$2:J187,"R"),"000"),IF(J187="A",J187&amp;TEXT(COUNTIF($J$2:J187,"A"),"000"),IF(J187="F",J187&amp;TEXT(COUNTIF($J$2:J187,"F"),"000"),IF(J187="M",J187&amp;TEXT(COUNTIF($J$2:J187,"M"),"000"),IF(J187="INS26",J187&amp;TEXT(COUNTIF($J$2:J187,"INS26"),"000"),"")))))))</f>
        <v/>
      </c>
    </row>
    <row r="188" spans="1:11" ht="15.75" customHeight="1">
      <c r="A188" s="135" t="str">
        <f t="shared" si="15"/>
        <v/>
      </c>
      <c r="B188" s="136"/>
      <c r="C188" s="5" t="str">
        <f t="shared" si="14"/>
        <v/>
      </c>
      <c r="D188" s="137"/>
      <c r="E188" s="5" t="str">
        <f t="shared" si="12"/>
        <v/>
      </c>
      <c r="F188" s="5" t="str">
        <f t="shared" si="11"/>
        <v/>
      </c>
      <c r="G188" s="138"/>
      <c r="H188" s="6" t="str">
        <f t="shared" si="13"/>
        <v/>
      </c>
      <c r="I188" s="139"/>
      <c r="J188" s="106" t="str">
        <f t="shared" si="16"/>
        <v/>
      </c>
      <c r="K188" s="134" t="str">
        <f>IF(J188="INS25",J188&amp;TEXT(COUNTIF($J$2:J188,"INS25"),"000"),IF(J188="C",J188&amp;TEXT(COUNTIF($J$2:J188,"C"),"000"),IF(J188="R",J188&amp;TEXT(COUNTIF($J$2:J188,"R"),"000"),IF(J188="A",J188&amp;TEXT(COUNTIF($J$2:J188,"A"),"000"),IF(J188="F",J188&amp;TEXT(COUNTIF($J$2:J188,"F"),"000"),IF(J188="M",J188&amp;TEXT(COUNTIF($J$2:J188,"M"),"000"),IF(J188="INS26",J188&amp;TEXT(COUNTIF($J$2:J188,"INS26"),"000"),"")))))))</f>
        <v/>
      </c>
    </row>
    <row r="189" spans="1:11" ht="15.75" customHeight="1">
      <c r="A189" s="135" t="str">
        <f t="shared" si="15"/>
        <v/>
      </c>
      <c r="B189" s="136"/>
      <c r="C189" s="5" t="str">
        <f t="shared" si="14"/>
        <v/>
      </c>
      <c r="D189" s="137"/>
      <c r="E189" s="5" t="str">
        <f t="shared" si="12"/>
        <v/>
      </c>
      <c r="F189" s="5" t="str">
        <f t="shared" si="11"/>
        <v/>
      </c>
      <c r="G189" s="138"/>
      <c r="H189" s="6" t="str">
        <f t="shared" si="13"/>
        <v/>
      </c>
      <c r="I189" s="139"/>
      <c r="J189" s="106" t="str">
        <f t="shared" si="16"/>
        <v/>
      </c>
      <c r="K189" s="134" t="str">
        <f>IF(J189="INS25",J189&amp;TEXT(COUNTIF($J$2:J189,"INS25"),"000"),IF(J189="C",J189&amp;TEXT(COUNTIF($J$2:J189,"C"),"000"),IF(J189="R",J189&amp;TEXT(COUNTIF($J$2:J189,"R"),"000"),IF(J189="A",J189&amp;TEXT(COUNTIF($J$2:J189,"A"),"000"),IF(J189="F",J189&amp;TEXT(COUNTIF($J$2:J189,"F"),"000"),IF(J189="M",J189&amp;TEXT(COUNTIF($J$2:J189,"M"),"000"),IF(J189="INS26",J189&amp;TEXT(COUNTIF($J$2:J189,"INS26"),"000"),"")))))))</f>
        <v/>
      </c>
    </row>
    <row r="190" spans="1:11" ht="15.75" customHeight="1">
      <c r="A190" s="135" t="str">
        <f t="shared" si="15"/>
        <v/>
      </c>
      <c r="B190" s="136"/>
      <c r="C190" s="5" t="str">
        <f t="shared" si="14"/>
        <v/>
      </c>
      <c r="D190" s="137"/>
      <c r="E190" s="5" t="str">
        <f t="shared" si="12"/>
        <v/>
      </c>
      <c r="F190" s="5" t="str">
        <f t="shared" si="11"/>
        <v/>
      </c>
      <c r="G190" s="138"/>
      <c r="H190" s="6" t="str">
        <f t="shared" si="13"/>
        <v/>
      </c>
      <c r="I190" s="139"/>
      <c r="J190" s="106" t="str">
        <f t="shared" si="16"/>
        <v/>
      </c>
      <c r="K190" s="134" t="str">
        <f>IF(J190="INS25",J190&amp;TEXT(COUNTIF($J$2:J190,"INS25"),"000"),IF(J190="C",J190&amp;TEXT(COUNTIF($J$2:J190,"C"),"000"),IF(J190="R",J190&amp;TEXT(COUNTIF($J$2:J190,"R"),"000"),IF(J190="A",J190&amp;TEXT(COUNTIF($J$2:J190,"A"),"000"),IF(J190="F",J190&amp;TEXT(COUNTIF($J$2:J190,"F"),"000"),IF(J190="M",J190&amp;TEXT(COUNTIF($J$2:J190,"M"),"000"),IF(J190="INS26",J190&amp;TEXT(COUNTIF($J$2:J190,"INS26"),"000"),"")))))))</f>
        <v/>
      </c>
    </row>
    <row r="191" spans="1:11" ht="15.75" customHeight="1">
      <c r="A191" s="135" t="str">
        <f t="shared" si="15"/>
        <v/>
      </c>
      <c r="B191" s="136"/>
      <c r="C191" s="5" t="str">
        <f t="shared" si="14"/>
        <v/>
      </c>
      <c r="D191" s="137"/>
      <c r="E191" s="5" t="str">
        <f t="shared" si="12"/>
        <v/>
      </c>
      <c r="F191" s="5" t="str">
        <f t="shared" si="11"/>
        <v/>
      </c>
      <c r="G191" s="138"/>
      <c r="H191" s="6" t="str">
        <f t="shared" si="13"/>
        <v/>
      </c>
      <c r="I191" s="139"/>
      <c r="J191" s="106" t="str">
        <f t="shared" si="16"/>
        <v/>
      </c>
      <c r="K191" s="134" t="str">
        <f>IF(J191="INS25",J191&amp;TEXT(COUNTIF($J$2:J191,"INS25"),"000"),IF(J191="C",J191&amp;TEXT(COUNTIF($J$2:J191,"C"),"000"),IF(J191="R",J191&amp;TEXT(COUNTIF($J$2:J191,"R"),"000"),IF(J191="A",J191&amp;TEXT(COUNTIF($J$2:J191,"A"),"000"),IF(J191="F",J191&amp;TEXT(COUNTIF($J$2:J191,"F"),"000"),IF(J191="M",J191&amp;TEXT(COUNTIF($J$2:J191,"M"),"000"),IF(J191="INS26",J191&amp;TEXT(COUNTIF($J$2:J191,"INS26"),"000"),"")))))))</f>
        <v/>
      </c>
    </row>
    <row r="192" spans="1:11" ht="15.75" customHeight="1">
      <c r="A192" s="135" t="str">
        <f t="shared" si="15"/>
        <v/>
      </c>
      <c r="B192" s="136"/>
      <c r="C192" s="5" t="str">
        <f t="shared" si="14"/>
        <v/>
      </c>
      <c r="D192" s="137"/>
      <c r="E192" s="5" t="str">
        <f t="shared" si="12"/>
        <v/>
      </c>
      <c r="F192" s="5" t="str">
        <f t="shared" si="11"/>
        <v/>
      </c>
      <c r="G192" s="138"/>
      <c r="H192" s="6" t="str">
        <f t="shared" si="13"/>
        <v/>
      </c>
      <c r="I192" s="139"/>
      <c r="J192" s="106" t="str">
        <f t="shared" si="16"/>
        <v/>
      </c>
      <c r="K192" s="134" t="str">
        <f>IF(J192="INS25",J192&amp;TEXT(COUNTIF($J$2:J192,"INS25"),"000"),IF(J192="C",J192&amp;TEXT(COUNTIF($J$2:J192,"C"),"000"),IF(J192="R",J192&amp;TEXT(COUNTIF($J$2:J192,"R"),"000"),IF(J192="A",J192&amp;TEXT(COUNTIF($J$2:J192,"A"),"000"),IF(J192="F",J192&amp;TEXT(COUNTIF($J$2:J192,"F"),"000"),IF(J192="M",J192&amp;TEXT(COUNTIF($J$2:J192,"M"),"000"),IF(J192="INS26",J192&amp;TEXT(COUNTIF($J$2:J192,"INS26"),"000"),"")))))))</f>
        <v/>
      </c>
    </row>
    <row r="193" spans="1:11" ht="15.75" customHeight="1">
      <c r="A193" s="135" t="str">
        <f t="shared" si="15"/>
        <v/>
      </c>
      <c r="B193" s="136"/>
      <c r="C193" s="5" t="str">
        <f t="shared" si="14"/>
        <v/>
      </c>
      <c r="D193" s="137"/>
      <c r="E193" s="5" t="str">
        <f t="shared" si="12"/>
        <v/>
      </c>
      <c r="F193" s="5" t="str">
        <f t="shared" si="11"/>
        <v/>
      </c>
      <c r="G193" s="138"/>
      <c r="H193" s="6" t="str">
        <f t="shared" si="13"/>
        <v/>
      </c>
      <c r="I193" s="139"/>
      <c r="J193" s="106" t="str">
        <f t="shared" si="16"/>
        <v/>
      </c>
      <c r="K193" s="134" t="str">
        <f>IF(J193="INS25",J193&amp;TEXT(COUNTIF($J$2:J193,"INS25"),"000"),IF(J193="C",J193&amp;TEXT(COUNTIF($J$2:J193,"C"),"000"),IF(J193="R",J193&amp;TEXT(COUNTIF($J$2:J193,"R"),"000"),IF(J193="A",J193&amp;TEXT(COUNTIF($J$2:J193,"A"),"000"),IF(J193="F",J193&amp;TEXT(COUNTIF($J$2:J193,"F"),"000"),IF(J193="M",J193&amp;TEXT(COUNTIF($J$2:J193,"M"),"000"),IF(J193="INS26",J193&amp;TEXT(COUNTIF($J$2:J193,"INS26"),"000"),"")))))))</f>
        <v/>
      </c>
    </row>
    <row r="194" spans="1:11" ht="15.75" customHeight="1">
      <c r="D194" s="12"/>
      <c r="H194" s="12"/>
      <c r="J194" s="106" t="str">
        <f t="shared" si="16"/>
        <v/>
      </c>
      <c r="K194" s="134" t="str">
        <f>IF(J194="INS25",J194&amp;TEXT(COUNTIF($J$2:J194,"INS25"),"000"),IF(J194="C",J194&amp;TEXT(COUNTIF($J$2:J194,"C"),"000"),IF(J194="R",J194&amp;TEXT(COUNTIF($J$2:J194,"R"),"000"),IF(J194="A",J194&amp;TEXT(COUNTIF($J$2:J194,"A"),"000"),IF(J194="F",J194&amp;TEXT(COUNTIF($J$2:J194,"F"),"000"),IF(J194="M",J194&amp;TEXT(COUNTIF($J$2:J194,"M"),"000"),IF(J194="INS26",J194&amp;TEXT(COUNTIF($J$2:J194,"INS26"),"000"),"")))))))</f>
        <v/>
      </c>
    </row>
    <row r="195" spans="1:11" ht="15.75" customHeight="1">
      <c r="D195" s="12"/>
      <c r="H195" s="12"/>
      <c r="J195" s="106" t="str">
        <f t="shared" ref="J195:J250" si="17">IF(I195="Inscripcion 2025 - 2026","INS25",IF(I195="Inscripcion 2026 - 2027","INS26",IF(I195="FOFI","F",IF(I195="Amarillas","A",IF(I195="Rojas","R",IF(I195="Carnet","C",IF(I195="Multas","M","")))))))</f>
        <v/>
      </c>
      <c r="K195" s="134" t="str">
        <f>IF(J195="INS25",J195&amp;TEXT(COUNTIF($J$2:J195,"INS25"),"000"),IF(J195="C",J195&amp;TEXT(COUNTIF($J$2:J195,"C"),"000"),IF(J195="R",J195&amp;TEXT(COUNTIF($J$2:J195,"R"),"000"),IF(J195="A",J195&amp;TEXT(COUNTIF($J$2:J195,"A"),"000"),IF(J195="F",J195&amp;TEXT(COUNTIF($J$2:J195,"F"),"000"),IF(J195="M",J195&amp;TEXT(COUNTIF($J$2:J195,"M"),"000"),IF(J195="INS26",J195&amp;TEXT(COUNTIF($J$2:J195,"INS26"),"000"),"")))))))</f>
        <v/>
      </c>
    </row>
    <row r="196" spans="1:11" ht="15.75" customHeight="1">
      <c r="D196" s="12"/>
      <c r="H196" s="12"/>
      <c r="J196" s="106" t="str">
        <f t="shared" si="17"/>
        <v/>
      </c>
      <c r="K196" s="134" t="str">
        <f>IF(J196="INS25",J196&amp;TEXT(COUNTIF($J$2:J196,"INS25"),"000"),IF(J196="C",J196&amp;TEXT(COUNTIF($J$2:J196,"C"),"000"),IF(J196="R",J196&amp;TEXT(COUNTIF($J$2:J196,"R"),"000"),IF(J196="A",J196&amp;TEXT(COUNTIF($J$2:J196,"A"),"000"),IF(J196="F",J196&amp;TEXT(COUNTIF($J$2:J196,"F"),"000"),IF(J196="M",J196&amp;TEXT(COUNTIF($J$2:J196,"M"),"000"),IF(J196="INS26",J196&amp;TEXT(COUNTIF($J$2:J196,"INS26"),"000"),"")))))))</f>
        <v/>
      </c>
    </row>
    <row r="197" spans="1:11" ht="15.75" customHeight="1">
      <c r="D197" s="12"/>
      <c r="H197" s="12"/>
      <c r="J197" s="106" t="str">
        <f t="shared" si="17"/>
        <v/>
      </c>
      <c r="K197" s="134" t="str">
        <f>IF(J197="INS25",J197&amp;TEXT(COUNTIF($J$2:J197,"INS25"),"000"),IF(J197="C",J197&amp;TEXT(COUNTIF($J$2:J197,"C"),"000"),IF(J197="R",J197&amp;TEXT(COUNTIF($J$2:J197,"R"),"000"),IF(J197="A",J197&amp;TEXT(COUNTIF($J$2:J197,"A"),"000"),IF(J197="F",J197&amp;TEXT(COUNTIF($J$2:J197,"F"),"000"),IF(J197="M",J197&amp;TEXT(COUNTIF($J$2:J197,"M"),"000"),IF(J197="INS26",J197&amp;TEXT(COUNTIF($J$2:J197,"INS26"),"000"),"")))))))</f>
        <v/>
      </c>
    </row>
    <row r="198" spans="1:11" ht="15.75" customHeight="1">
      <c r="D198" s="12"/>
      <c r="H198" s="12"/>
      <c r="J198" s="106" t="str">
        <f t="shared" si="17"/>
        <v/>
      </c>
      <c r="K198" s="134" t="str">
        <f>IF(J198="INS25",J198&amp;TEXT(COUNTIF($J$2:J198,"INS25"),"000"),IF(J198="C",J198&amp;TEXT(COUNTIF($J$2:J198,"C"),"000"),IF(J198="R",J198&amp;TEXT(COUNTIF($J$2:J198,"R"),"000"),IF(J198="A",J198&amp;TEXT(COUNTIF($J$2:J198,"A"),"000"),IF(J198="F",J198&amp;TEXT(COUNTIF($J$2:J198,"F"),"000"),IF(J198="M",J198&amp;TEXT(COUNTIF($J$2:J198,"M"),"000"),IF(J198="INS26",J198&amp;TEXT(COUNTIF($J$2:J198,"INS26"),"000"),"")))))))</f>
        <v/>
      </c>
    </row>
    <row r="199" spans="1:11" ht="15.75" customHeight="1">
      <c r="D199" s="12"/>
      <c r="H199" s="12"/>
      <c r="J199" s="106" t="str">
        <f t="shared" si="17"/>
        <v/>
      </c>
      <c r="K199" s="134" t="str">
        <f>IF(J199="INS25",J199&amp;TEXT(COUNTIF($J$2:J199,"INS25"),"000"),IF(J199="C",J199&amp;TEXT(COUNTIF($J$2:J199,"C"),"000"),IF(J199="R",J199&amp;TEXT(COUNTIF($J$2:J199,"R"),"000"),IF(J199="A",J199&amp;TEXT(COUNTIF($J$2:J199,"A"),"000"),IF(J199="F",J199&amp;TEXT(COUNTIF($J$2:J199,"F"),"000"),IF(J199="M",J199&amp;TEXT(COUNTIF($J$2:J199,"M"),"000"),IF(J199="INS26",J199&amp;TEXT(COUNTIF($J$2:J199,"INS26"),"000"),"")))))))</f>
        <v/>
      </c>
    </row>
    <row r="200" spans="1:11" ht="15.75" customHeight="1">
      <c r="D200" s="12"/>
      <c r="H200" s="12"/>
      <c r="J200" s="106" t="str">
        <f t="shared" si="17"/>
        <v/>
      </c>
      <c r="K200" s="134" t="str">
        <f>IF(J200="INS25",J200&amp;TEXT(COUNTIF($J$2:J200,"INS25"),"000"),IF(J200="C",J200&amp;TEXT(COUNTIF($J$2:J200,"C"),"000"),IF(J200="R",J200&amp;TEXT(COUNTIF($J$2:J200,"R"),"000"),IF(J200="A",J200&amp;TEXT(COUNTIF($J$2:J200,"A"),"000"),IF(J200="F",J200&amp;TEXT(COUNTIF($J$2:J200,"F"),"000"),IF(J200="M",J200&amp;TEXT(COUNTIF($J$2:J200,"M"),"000"),IF(J200="INS26",J200&amp;TEXT(COUNTIF($J$2:J200,"INS26"),"000"),"")))))))</f>
        <v/>
      </c>
    </row>
    <row r="201" spans="1:11" ht="15.75" customHeight="1">
      <c r="D201" s="12"/>
      <c r="H201" s="12"/>
      <c r="J201" s="106" t="str">
        <f t="shared" si="17"/>
        <v/>
      </c>
      <c r="K201" s="134" t="str">
        <f>IF(J201="INS25",J201&amp;TEXT(COUNTIF($J$2:J201,"INS25"),"000"),IF(J201="C",J201&amp;TEXT(COUNTIF($J$2:J201,"C"),"000"),IF(J201="R",J201&amp;TEXT(COUNTIF($J$2:J201,"R"),"000"),IF(J201="A",J201&amp;TEXT(COUNTIF($J$2:J201,"A"),"000"),IF(J201="F",J201&amp;TEXT(COUNTIF($J$2:J201,"F"),"000"),IF(J201="M",J201&amp;TEXT(COUNTIF($J$2:J201,"M"),"000"),IF(J201="INS26",J201&amp;TEXT(COUNTIF($J$2:J201,"INS26"),"000"),"")))))))</f>
        <v/>
      </c>
    </row>
    <row r="202" spans="1:11" ht="15.75" customHeight="1">
      <c r="D202" s="12"/>
      <c r="H202" s="12"/>
      <c r="J202" s="106" t="str">
        <f t="shared" si="17"/>
        <v/>
      </c>
      <c r="K202" s="134" t="str">
        <f>IF(J202="INS25",J202&amp;TEXT(COUNTIF($J$2:J202,"INS25"),"000"),IF(J202="C",J202&amp;TEXT(COUNTIF($J$2:J202,"C"),"000"),IF(J202="R",J202&amp;TEXT(COUNTIF($J$2:J202,"R"),"000"),IF(J202="A",J202&amp;TEXT(COUNTIF($J$2:J202,"A"),"000"),IF(J202="F",J202&amp;TEXT(COUNTIF($J$2:J202,"F"),"000"),IF(J202="M",J202&amp;TEXT(COUNTIF($J$2:J202,"M"),"000"),IF(J202="INS26",J202&amp;TEXT(COUNTIF($J$2:J202,"INS26"),"000"),"")))))))</f>
        <v/>
      </c>
    </row>
    <row r="203" spans="1:11" ht="15.75" customHeight="1">
      <c r="D203" s="12"/>
      <c r="H203" s="12"/>
      <c r="J203" s="106" t="str">
        <f t="shared" si="17"/>
        <v/>
      </c>
      <c r="K203" s="134" t="str">
        <f>IF(J203="INS25",J203&amp;TEXT(COUNTIF($J$2:J203,"INS25"),"000"),IF(J203="C",J203&amp;TEXT(COUNTIF($J$2:J203,"C"),"000"),IF(J203="R",J203&amp;TEXT(COUNTIF($J$2:J203,"R"),"000"),IF(J203="A",J203&amp;TEXT(COUNTIF($J$2:J203,"A"),"000"),IF(J203="F",J203&amp;TEXT(COUNTIF($J$2:J203,"F"),"000"),IF(J203="M",J203&amp;TEXT(COUNTIF($J$2:J203,"M"),"000"),IF(J203="INS26",J203&amp;TEXT(COUNTIF($J$2:J203,"INS26"),"000"),"")))))))</f>
        <v/>
      </c>
    </row>
    <row r="204" spans="1:11" ht="15.75" customHeight="1">
      <c r="D204" s="12"/>
      <c r="H204" s="12"/>
      <c r="J204" s="106" t="str">
        <f t="shared" si="17"/>
        <v/>
      </c>
      <c r="K204" s="134" t="str">
        <f>IF(J204="INS25",J204&amp;TEXT(COUNTIF($J$2:J204,"INS25"),"000"),IF(J204="C",J204&amp;TEXT(COUNTIF($J$2:J204,"C"),"000"),IF(J204="R",J204&amp;TEXT(COUNTIF($J$2:J204,"R"),"000"),IF(J204="A",J204&amp;TEXT(COUNTIF($J$2:J204,"A"),"000"),IF(J204="F",J204&amp;TEXT(COUNTIF($J$2:J204,"F"),"000"),IF(J204="M",J204&amp;TEXT(COUNTIF($J$2:J204,"M"),"000"),IF(J204="INS26",J204&amp;TEXT(COUNTIF($J$2:J204,"INS26"),"000"),"")))))))</f>
        <v/>
      </c>
    </row>
    <row r="205" spans="1:11" ht="15.75" customHeight="1">
      <c r="D205" s="12"/>
      <c r="H205" s="12"/>
      <c r="J205" s="106" t="str">
        <f t="shared" si="17"/>
        <v/>
      </c>
      <c r="K205" s="134" t="str">
        <f>IF(J205="INS25",J205&amp;TEXT(COUNTIF($J$2:J205,"INS25"),"000"),IF(J205="C",J205&amp;TEXT(COUNTIF($J$2:J205,"C"),"000"),IF(J205="R",J205&amp;TEXT(COUNTIF($J$2:J205,"R"),"000"),IF(J205="A",J205&amp;TEXT(COUNTIF($J$2:J205,"A"),"000"),IF(J205="F",J205&amp;TEXT(COUNTIF($J$2:J205,"F"),"000"),IF(J205="M",J205&amp;TEXT(COUNTIF($J$2:J205,"M"),"000"),IF(J205="INS26",J205&amp;TEXT(COUNTIF($J$2:J205,"INS26"),"000"),"")))))))</f>
        <v/>
      </c>
    </row>
    <row r="206" spans="1:11" ht="15.75" customHeight="1">
      <c r="D206" s="12"/>
      <c r="H206" s="12"/>
      <c r="J206" s="106" t="str">
        <f t="shared" si="17"/>
        <v/>
      </c>
      <c r="K206" s="134" t="str">
        <f>IF(J206="INS25",J206&amp;TEXT(COUNTIF($J$2:J206,"INS25"),"000"),IF(J206="C",J206&amp;TEXT(COUNTIF($J$2:J206,"C"),"000"),IF(J206="R",J206&amp;TEXT(COUNTIF($J$2:J206,"R"),"000"),IF(J206="A",J206&amp;TEXT(COUNTIF($J$2:J206,"A"),"000"),IF(J206="F",J206&amp;TEXT(COUNTIF($J$2:J206,"F"),"000"),IF(J206="M",J206&amp;TEXT(COUNTIF($J$2:J206,"M"),"000"),IF(J206="INS26",J206&amp;TEXT(COUNTIF($J$2:J206,"INS26"),"000"),"")))))))</f>
        <v/>
      </c>
    </row>
    <row r="207" spans="1:11" ht="15.75" customHeight="1">
      <c r="D207" s="12"/>
      <c r="H207" s="12"/>
      <c r="J207" s="106" t="str">
        <f t="shared" si="17"/>
        <v/>
      </c>
      <c r="K207" s="134" t="str">
        <f>IF(J207="INS25",J207&amp;TEXT(COUNTIF($J$2:J207,"INS25"),"000"),IF(J207="C",J207&amp;TEXT(COUNTIF($J$2:J207,"C"),"000"),IF(J207="R",J207&amp;TEXT(COUNTIF($J$2:J207,"R"),"000"),IF(J207="A",J207&amp;TEXT(COUNTIF($J$2:J207,"A"),"000"),IF(J207="F",J207&amp;TEXT(COUNTIF($J$2:J207,"F"),"000"),IF(J207="M",J207&amp;TEXT(COUNTIF($J$2:J207,"M"),"000"),IF(J207="INS26",J207&amp;TEXT(COUNTIF($J$2:J207,"INS26"),"000"),"")))))))</f>
        <v/>
      </c>
    </row>
    <row r="208" spans="1:11" ht="15.75" customHeight="1">
      <c r="D208" s="12"/>
      <c r="H208" s="12"/>
      <c r="J208" s="106" t="str">
        <f t="shared" si="17"/>
        <v/>
      </c>
      <c r="K208" s="134" t="str">
        <f>IF(J208="INS25",J208&amp;TEXT(COUNTIF($J$2:J208,"INS25"),"000"),IF(J208="C",J208&amp;TEXT(COUNTIF($J$2:J208,"C"),"000"),IF(J208="R",J208&amp;TEXT(COUNTIF($J$2:J208,"R"),"000"),IF(J208="A",J208&amp;TEXT(COUNTIF($J$2:J208,"A"),"000"),IF(J208="F",J208&amp;TEXT(COUNTIF($J$2:J208,"F"),"000"),IF(J208="M",J208&amp;TEXT(COUNTIF($J$2:J208,"M"),"000"),IF(J208="INS26",J208&amp;TEXT(COUNTIF($J$2:J208,"INS26"),"000"),"")))))))</f>
        <v/>
      </c>
    </row>
    <row r="209" spans="4:11" ht="15.75" customHeight="1">
      <c r="D209" s="12"/>
      <c r="H209" s="12"/>
      <c r="J209" s="106" t="str">
        <f t="shared" si="17"/>
        <v/>
      </c>
      <c r="K209" s="134" t="str">
        <f>IF(J209="INS25",J209&amp;TEXT(COUNTIF($J$2:J209,"INS25"),"000"),IF(J209="C",J209&amp;TEXT(COUNTIF($J$2:J209,"C"),"000"),IF(J209="R",J209&amp;TEXT(COUNTIF($J$2:J209,"R"),"000"),IF(J209="A",J209&amp;TEXT(COUNTIF($J$2:J209,"A"),"000"),IF(J209="F",J209&amp;TEXT(COUNTIF($J$2:J209,"F"),"000"),IF(J209="M",J209&amp;TEXT(COUNTIF($J$2:J209,"M"),"000"),IF(J209="INS26",J209&amp;TEXT(COUNTIF($J$2:J209,"INS26"),"000"),"")))))))</f>
        <v/>
      </c>
    </row>
    <row r="210" spans="4:11" ht="15.75" customHeight="1">
      <c r="D210" s="12"/>
      <c r="H210" s="12"/>
      <c r="J210" s="106" t="str">
        <f t="shared" si="17"/>
        <v/>
      </c>
      <c r="K210" s="134" t="str">
        <f>IF(J210="INS25",J210&amp;TEXT(COUNTIF($J$2:J210,"INS25"),"000"),IF(J210="C",J210&amp;TEXT(COUNTIF($J$2:J210,"C"),"000"),IF(J210="R",J210&amp;TEXT(COUNTIF($J$2:J210,"R"),"000"),IF(J210="A",J210&amp;TEXT(COUNTIF($J$2:J210,"A"),"000"),IF(J210="F",J210&amp;TEXT(COUNTIF($J$2:J210,"F"),"000"),IF(J210="M",J210&amp;TEXT(COUNTIF($J$2:J210,"M"),"000"),IF(J210="INS26",J210&amp;TEXT(COUNTIF($J$2:J210,"INS26"),"000"),"")))))))</f>
        <v/>
      </c>
    </row>
    <row r="211" spans="4:11" ht="15.75" customHeight="1">
      <c r="D211" s="12"/>
      <c r="H211" s="12"/>
      <c r="J211" s="106" t="str">
        <f t="shared" si="17"/>
        <v/>
      </c>
      <c r="K211" s="134" t="str">
        <f>IF(J211="INS25",J211&amp;TEXT(COUNTIF($J$2:J211,"INS25"),"000"),IF(J211="C",J211&amp;TEXT(COUNTIF($J$2:J211,"C"),"000"),IF(J211="R",J211&amp;TEXT(COUNTIF($J$2:J211,"R"),"000"),IF(J211="A",J211&amp;TEXT(COUNTIF($J$2:J211,"A"),"000"),IF(J211="F",J211&amp;TEXT(COUNTIF($J$2:J211,"F"),"000"),IF(J211="M",J211&amp;TEXT(COUNTIF($J$2:J211,"M"),"000"),IF(J211="INS26",J211&amp;TEXT(COUNTIF($J$2:J211,"INS26"),"000"),"")))))))</f>
        <v/>
      </c>
    </row>
    <row r="212" spans="4:11" ht="15.75" customHeight="1">
      <c r="D212" s="12"/>
      <c r="H212" s="12"/>
      <c r="J212" s="106" t="str">
        <f t="shared" si="17"/>
        <v/>
      </c>
      <c r="K212" s="134" t="str">
        <f>IF(J212="INS25",J212&amp;TEXT(COUNTIF($J$2:J212,"INS25"),"000"),IF(J212="C",J212&amp;TEXT(COUNTIF($J$2:J212,"C"),"000"),IF(J212="R",J212&amp;TEXT(COUNTIF($J$2:J212,"R"),"000"),IF(J212="A",J212&amp;TEXT(COUNTIF($J$2:J212,"A"),"000"),IF(J212="F",J212&amp;TEXT(COUNTIF($J$2:J212,"F"),"000"),IF(J212="M",J212&amp;TEXT(COUNTIF($J$2:J212,"M"),"000"),IF(J212="INS26",J212&amp;TEXT(COUNTIF($J$2:J212,"INS26"),"000"),"")))))))</f>
        <v/>
      </c>
    </row>
    <row r="213" spans="4:11" ht="15.75" customHeight="1">
      <c r="D213" s="12"/>
      <c r="H213" s="12"/>
      <c r="J213" s="106" t="str">
        <f t="shared" si="17"/>
        <v/>
      </c>
      <c r="K213" s="134" t="str">
        <f>IF(J213="INS25",J213&amp;TEXT(COUNTIF($J$2:J213,"INS25"),"000"),IF(J213="C",J213&amp;TEXT(COUNTIF($J$2:J213,"C"),"000"),IF(J213="R",J213&amp;TEXT(COUNTIF($J$2:J213,"R"),"000"),IF(J213="A",J213&amp;TEXT(COUNTIF($J$2:J213,"A"),"000"),IF(J213="F",J213&amp;TEXT(COUNTIF($J$2:J213,"F"),"000"),IF(J213="M",J213&amp;TEXT(COUNTIF($J$2:J213,"M"),"000"),IF(J213="INS26",J213&amp;TEXT(COUNTIF($J$2:J213,"INS26"),"000"),"")))))))</f>
        <v/>
      </c>
    </row>
    <row r="214" spans="4:11" ht="15.75" customHeight="1">
      <c r="D214" s="12"/>
      <c r="H214" s="12"/>
      <c r="J214" s="106" t="str">
        <f t="shared" si="17"/>
        <v/>
      </c>
      <c r="K214" s="134" t="str">
        <f>IF(J214="INS25",J214&amp;TEXT(COUNTIF($J$2:J214,"INS25"),"000"),IF(J214="C",J214&amp;TEXT(COUNTIF($J$2:J214,"C"),"000"),IF(J214="R",J214&amp;TEXT(COUNTIF($J$2:J214,"R"),"000"),IF(J214="A",J214&amp;TEXT(COUNTIF($J$2:J214,"A"),"000"),IF(J214="F",J214&amp;TEXT(COUNTIF($J$2:J214,"F"),"000"),IF(J214="M",J214&amp;TEXT(COUNTIF($J$2:J214,"M"),"000"),IF(J214="INS26",J214&amp;TEXT(COUNTIF($J$2:J214,"INS26"),"000"),"")))))))</f>
        <v/>
      </c>
    </row>
    <row r="215" spans="4:11" ht="15.75" customHeight="1">
      <c r="D215" s="12"/>
      <c r="H215" s="12"/>
      <c r="J215" s="106" t="str">
        <f t="shared" si="17"/>
        <v/>
      </c>
      <c r="K215" s="134" t="str">
        <f>IF(J215="INS25",J215&amp;TEXT(COUNTIF($J$2:J215,"INS25"),"000"),IF(J215="C",J215&amp;TEXT(COUNTIF($J$2:J215,"C"),"000"),IF(J215="R",J215&amp;TEXT(COUNTIF($J$2:J215,"R"),"000"),IF(J215="A",J215&amp;TEXT(COUNTIF($J$2:J215,"A"),"000"),IF(J215="F",J215&amp;TEXT(COUNTIF($J$2:J215,"F"),"000"),IF(J215="M",J215&amp;TEXT(COUNTIF($J$2:J215,"M"),"000"),IF(J215="INS26",J215&amp;TEXT(COUNTIF($J$2:J215,"INS26"),"000"),"")))))))</f>
        <v/>
      </c>
    </row>
    <row r="216" spans="4:11" ht="15.75" customHeight="1">
      <c r="D216" s="12"/>
      <c r="H216" s="12"/>
      <c r="J216" s="106" t="str">
        <f t="shared" si="17"/>
        <v/>
      </c>
      <c r="K216" s="134" t="str">
        <f>IF(J216="INS25",J216&amp;TEXT(COUNTIF($J$2:J216,"INS25"),"000"),IF(J216="C",J216&amp;TEXT(COUNTIF($J$2:J216,"C"),"000"),IF(J216="R",J216&amp;TEXT(COUNTIF($J$2:J216,"R"),"000"),IF(J216="A",J216&amp;TEXT(COUNTIF($J$2:J216,"A"),"000"),IF(J216="F",J216&amp;TEXT(COUNTIF($J$2:J216,"F"),"000"),IF(J216="M",J216&amp;TEXT(COUNTIF($J$2:J216,"M"),"000"),IF(J216="INS26",J216&amp;TEXT(COUNTIF($J$2:J216,"INS26"),"000"),"")))))))</f>
        <v/>
      </c>
    </row>
    <row r="217" spans="4:11" ht="15.75" customHeight="1">
      <c r="D217" s="12"/>
      <c r="H217" s="12"/>
      <c r="J217" s="106" t="str">
        <f t="shared" si="17"/>
        <v/>
      </c>
      <c r="K217" s="134" t="str">
        <f>IF(J217="INS25",J217&amp;TEXT(COUNTIF($J$2:J217,"INS25"),"000"),IF(J217="C",J217&amp;TEXT(COUNTIF($J$2:J217,"C"),"000"),IF(J217="R",J217&amp;TEXT(COUNTIF($J$2:J217,"R"),"000"),IF(J217="A",J217&amp;TEXT(COUNTIF($J$2:J217,"A"),"000"),IF(J217="F",J217&amp;TEXT(COUNTIF($J$2:J217,"F"),"000"),IF(J217="M",J217&amp;TEXT(COUNTIF($J$2:J217,"M"),"000"),IF(J217="INS26",J217&amp;TEXT(COUNTIF($J$2:J217,"INS26"),"000"),"")))))))</f>
        <v/>
      </c>
    </row>
    <row r="218" spans="4:11" ht="15.75" customHeight="1">
      <c r="D218" s="12"/>
      <c r="H218" s="12"/>
      <c r="J218" s="106" t="str">
        <f t="shared" si="17"/>
        <v/>
      </c>
      <c r="K218" s="134" t="str">
        <f>IF(J218="INS25",J218&amp;TEXT(COUNTIF($J$2:J218,"INS25"),"000"),IF(J218="C",J218&amp;TEXT(COUNTIF($J$2:J218,"C"),"000"),IF(J218="R",J218&amp;TEXT(COUNTIF($J$2:J218,"R"),"000"),IF(J218="A",J218&amp;TEXT(COUNTIF($J$2:J218,"A"),"000"),IF(J218="F",J218&amp;TEXT(COUNTIF($J$2:J218,"F"),"000"),IF(J218="M",J218&amp;TEXT(COUNTIF($J$2:J218,"M"),"000"),IF(J218="INS26",J218&amp;TEXT(COUNTIF($J$2:J218,"INS26"),"000"),"")))))))</f>
        <v/>
      </c>
    </row>
    <row r="219" spans="4:11" ht="15.75" customHeight="1">
      <c r="D219" s="12"/>
      <c r="H219" s="12"/>
      <c r="J219" s="106" t="str">
        <f t="shared" si="17"/>
        <v/>
      </c>
      <c r="K219" s="134" t="str">
        <f>IF(J219="INS25",J219&amp;TEXT(COUNTIF($J$2:J219,"INS25"),"000"),IF(J219="C",J219&amp;TEXT(COUNTIF($J$2:J219,"C"),"000"),IF(J219="R",J219&amp;TEXT(COUNTIF($J$2:J219,"R"),"000"),IF(J219="A",J219&amp;TEXT(COUNTIF($J$2:J219,"A"),"000"),IF(J219="F",J219&amp;TEXT(COUNTIF($J$2:J219,"F"),"000"),IF(J219="M",J219&amp;TEXT(COUNTIF($J$2:J219,"M"),"000"),IF(J219="INS26",J219&amp;TEXT(COUNTIF($J$2:J219,"INS26"),"000"),"")))))))</f>
        <v/>
      </c>
    </row>
    <row r="220" spans="4:11" ht="15.75" customHeight="1">
      <c r="D220" s="12"/>
      <c r="H220" s="12"/>
      <c r="J220" s="106" t="str">
        <f t="shared" si="17"/>
        <v/>
      </c>
      <c r="K220" s="134" t="str">
        <f>IF(J220="INS25",J220&amp;TEXT(COUNTIF($J$2:J220,"INS25"),"000"),IF(J220="C",J220&amp;TEXT(COUNTIF($J$2:J220,"C"),"000"),IF(J220="R",J220&amp;TEXT(COUNTIF($J$2:J220,"R"),"000"),IF(J220="A",J220&amp;TEXT(COUNTIF($J$2:J220,"A"),"000"),IF(J220="F",J220&amp;TEXT(COUNTIF($J$2:J220,"F"),"000"),IF(J220="M",J220&amp;TEXT(COUNTIF($J$2:J220,"M"),"000"),IF(J220="INS26",J220&amp;TEXT(COUNTIF($J$2:J220,"INS26"),"000"),"")))))))</f>
        <v/>
      </c>
    </row>
    <row r="221" spans="4:11" ht="15.75" customHeight="1">
      <c r="D221" s="12"/>
      <c r="H221" s="12"/>
      <c r="J221" s="106" t="str">
        <f t="shared" si="17"/>
        <v/>
      </c>
      <c r="K221" s="134" t="str">
        <f>IF(J221="INS25",J221&amp;TEXT(COUNTIF($J$2:J221,"INS25"),"000"),IF(J221="C",J221&amp;TEXT(COUNTIF($J$2:J221,"C"),"000"),IF(J221="R",J221&amp;TEXT(COUNTIF($J$2:J221,"R"),"000"),IF(J221="A",J221&amp;TEXT(COUNTIF($J$2:J221,"A"),"000"),IF(J221="F",J221&amp;TEXT(COUNTIF($J$2:J221,"F"),"000"),IF(J221="M",J221&amp;TEXT(COUNTIF($J$2:J221,"M"),"000"),IF(J221="INS26",J221&amp;TEXT(COUNTIF($J$2:J221,"INS26"),"000"),"")))))))</f>
        <v/>
      </c>
    </row>
    <row r="222" spans="4:11" ht="15.75" customHeight="1">
      <c r="D222" s="12"/>
      <c r="H222" s="12"/>
      <c r="J222" s="106" t="str">
        <f t="shared" si="17"/>
        <v/>
      </c>
      <c r="K222" s="134" t="str">
        <f>IF(J222="INS25",J222&amp;TEXT(COUNTIF($J$2:J222,"INS25"),"000"),IF(J222="C",J222&amp;TEXT(COUNTIF($J$2:J222,"C"),"000"),IF(J222="R",J222&amp;TEXT(COUNTIF($J$2:J222,"R"),"000"),IF(J222="A",J222&amp;TEXT(COUNTIF($J$2:J222,"A"),"000"),IF(J222="F",J222&amp;TEXT(COUNTIF($J$2:J222,"F"),"000"),IF(J222="M",J222&amp;TEXT(COUNTIF($J$2:J222,"M"),"000"),IF(J222="INS26",J222&amp;TEXT(COUNTIF($J$2:J222,"INS26"),"000"),"")))))))</f>
        <v/>
      </c>
    </row>
    <row r="223" spans="4:11" ht="15.75" customHeight="1">
      <c r="D223" s="12"/>
      <c r="H223" s="12"/>
      <c r="J223" s="106" t="str">
        <f t="shared" si="17"/>
        <v/>
      </c>
      <c r="K223" s="134" t="str">
        <f>IF(J223="INS25",J223&amp;TEXT(COUNTIF($J$2:J223,"INS25"),"000"),IF(J223="C",J223&amp;TEXT(COUNTIF($J$2:J223,"C"),"000"),IF(J223="R",J223&amp;TEXT(COUNTIF($J$2:J223,"R"),"000"),IF(J223="A",J223&amp;TEXT(COUNTIF($J$2:J223,"A"),"000"),IF(J223="F",J223&amp;TEXT(COUNTIF($J$2:J223,"F"),"000"),IF(J223="M",J223&amp;TEXT(COUNTIF($J$2:J223,"M"),"000"),IF(J223="INS26",J223&amp;TEXT(COUNTIF($J$2:J223,"INS26"),"000"),"")))))))</f>
        <v/>
      </c>
    </row>
    <row r="224" spans="4:11" ht="15.75" customHeight="1">
      <c r="D224" s="12"/>
      <c r="H224" s="12"/>
      <c r="J224" s="106" t="str">
        <f t="shared" si="17"/>
        <v/>
      </c>
      <c r="K224" s="134" t="str">
        <f>IF(J224="INS25",J224&amp;TEXT(COUNTIF($J$2:J224,"INS25"),"000"),IF(J224="C",J224&amp;TEXT(COUNTIF($J$2:J224,"C"),"000"),IF(J224="R",J224&amp;TEXT(COUNTIF($J$2:J224,"R"),"000"),IF(J224="A",J224&amp;TEXT(COUNTIF($J$2:J224,"A"),"000"),IF(J224="F",J224&amp;TEXT(COUNTIF($J$2:J224,"F"),"000"),IF(J224="M",J224&amp;TEXT(COUNTIF($J$2:J224,"M"),"000"),IF(J224="INS26",J224&amp;TEXT(COUNTIF($J$2:J224,"INS26"),"000"),"")))))))</f>
        <v/>
      </c>
    </row>
    <row r="225" spans="4:11" ht="15.75" customHeight="1">
      <c r="D225" s="12"/>
      <c r="H225" s="12"/>
      <c r="J225" s="106" t="str">
        <f t="shared" si="17"/>
        <v/>
      </c>
      <c r="K225" s="134" t="str">
        <f>IF(J225="INS25",J225&amp;TEXT(COUNTIF($J$2:J225,"INS25"),"000"),IF(J225="C",J225&amp;TEXT(COUNTIF($J$2:J225,"C"),"000"),IF(J225="R",J225&amp;TEXT(COUNTIF($J$2:J225,"R"),"000"),IF(J225="A",J225&amp;TEXT(COUNTIF($J$2:J225,"A"),"000"),IF(J225="F",J225&amp;TEXT(COUNTIF($J$2:J225,"F"),"000"),IF(J225="M",J225&amp;TEXT(COUNTIF($J$2:J225,"M"),"000"),IF(J225="INS26",J225&amp;TEXT(COUNTIF($J$2:J225,"INS26"),"000"),"")))))))</f>
        <v/>
      </c>
    </row>
    <row r="226" spans="4:11" ht="15.75" customHeight="1">
      <c r="D226" s="12"/>
      <c r="H226" s="12"/>
      <c r="J226" s="106" t="str">
        <f t="shared" si="17"/>
        <v/>
      </c>
      <c r="K226" s="134" t="str">
        <f>IF(J226="INS25",J226&amp;TEXT(COUNTIF($J$2:J226,"INS25"),"000"),IF(J226="C",J226&amp;TEXT(COUNTIF($J$2:J226,"C"),"000"),IF(J226="R",J226&amp;TEXT(COUNTIF($J$2:J226,"R"),"000"),IF(J226="A",J226&amp;TEXT(COUNTIF($J$2:J226,"A"),"000"),IF(J226="F",J226&amp;TEXT(COUNTIF($J$2:J226,"F"),"000"),IF(J226="M",J226&amp;TEXT(COUNTIF($J$2:J226,"M"),"000"),IF(J226="INS26",J226&amp;TEXT(COUNTIF($J$2:J226,"INS26"),"000"),"")))))))</f>
        <v/>
      </c>
    </row>
    <row r="227" spans="4:11" ht="15.75" customHeight="1">
      <c r="D227" s="12"/>
      <c r="H227" s="12"/>
      <c r="J227" s="106" t="str">
        <f t="shared" si="17"/>
        <v/>
      </c>
      <c r="K227" s="134" t="str">
        <f>IF(J227="INS25",J227&amp;TEXT(COUNTIF($J$2:J227,"INS25"),"000"),IF(J227="C",J227&amp;TEXT(COUNTIF($J$2:J227,"C"),"000"),IF(J227="R",J227&amp;TEXT(COUNTIF($J$2:J227,"R"),"000"),IF(J227="A",J227&amp;TEXT(COUNTIF($J$2:J227,"A"),"000"),IF(J227="F",J227&amp;TEXT(COUNTIF($J$2:J227,"F"),"000"),IF(J227="M",J227&amp;TEXT(COUNTIF($J$2:J227,"M"),"000"),IF(J227="INS26",J227&amp;TEXT(COUNTIF($J$2:J227,"INS26"),"000"),"")))))))</f>
        <v/>
      </c>
    </row>
    <row r="228" spans="4:11" ht="15.75" customHeight="1">
      <c r="D228" s="12"/>
      <c r="H228" s="12"/>
      <c r="J228" s="106" t="str">
        <f t="shared" si="17"/>
        <v/>
      </c>
      <c r="K228" s="134" t="str">
        <f>IF(J228="INS25",J228&amp;TEXT(COUNTIF($J$2:J228,"INS25"),"000"),IF(J228="C",J228&amp;TEXT(COUNTIF($J$2:J228,"C"),"000"),IF(J228="R",J228&amp;TEXT(COUNTIF($J$2:J228,"R"),"000"),IF(J228="A",J228&amp;TEXT(COUNTIF($J$2:J228,"A"),"000"),IF(J228="F",J228&amp;TEXT(COUNTIF($J$2:J228,"F"),"000"),IF(J228="M",J228&amp;TEXT(COUNTIF($J$2:J228,"M"),"000"),IF(J228="INS26",J228&amp;TEXT(COUNTIF($J$2:J228,"INS26"),"000"),"")))))))</f>
        <v/>
      </c>
    </row>
    <row r="229" spans="4:11" ht="15.75" customHeight="1">
      <c r="D229" s="12"/>
      <c r="H229" s="12"/>
      <c r="J229" s="106" t="str">
        <f t="shared" si="17"/>
        <v/>
      </c>
      <c r="K229" s="134" t="str">
        <f>IF(J229="INS25",J229&amp;TEXT(COUNTIF($J$2:J229,"INS25"),"000"),IF(J229="C",J229&amp;TEXT(COUNTIF($J$2:J229,"C"),"000"),IF(J229="R",J229&amp;TEXT(COUNTIF($J$2:J229,"R"),"000"),IF(J229="A",J229&amp;TEXT(COUNTIF($J$2:J229,"A"),"000"),IF(J229="F",J229&amp;TEXT(COUNTIF($J$2:J229,"F"),"000"),IF(J229="M",J229&amp;TEXT(COUNTIF($J$2:J229,"M"),"000"),IF(J229="INS26",J229&amp;TEXT(COUNTIF($J$2:J229,"INS26"),"000"),"")))))))</f>
        <v/>
      </c>
    </row>
    <row r="230" spans="4:11" ht="15.75" customHeight="1">
      <c r="D230" s="12"/>
      <c r="H230" s="12"/>
      <c r="J230" s="106" t="str">
        <f t="shared" si="17"/>
        <v/>
      </c>
      <c r="K230" s="134" t="str">
        <f>IF(J230="INS25",J230&amp;TEXT(COUNTIF($J$2:J230,"INS25"),"000"),IF(J230="C",J230&amp;TEXT(COUNTIF($J$2:J230,"C"),"000"),IF(J230="R",J230&amp;TEXT(COUNTIF($J$2:J230,"R"),"000"),IF(J230="A",J230&amp;TEXT(COUNTIF($J$2:J230,"A"),"000"),IF(J230="F",J230&amp;TEXT(COUNTIF($J$2:J230,"F"),"000"),IF(J230="M",J230&amp;TEXT(COUNTIF($J$2:J230,"M"),"000"),IF(J230="INS26",J230&amp;TEXT(COUNTIF($J$2:J230,"INS26"),"000"),"")))))))</f>
        <v/>
      </c>
    </row>
    <row r="231" spans="4:11" ht="15.75" customHeight="1">
      <c r="D231" s="12"/>
      <c r="H231" s="12"/>
      <c r="J231" s="106" t="str">
        <f t="shared" si="17"/>
        <v/>
      </c>
      <c r="K231" s="134" t="str">
        <f>IF(J231="INS25",J231&amp;TEXT(COUNTIF($J$2:J231,"INS25"),"000"),IF(J231="C",J231&amp;TEXT(COUNTIF($J$2:J231,"C"),"000"),IF(J231="R",J231&amp;TEXT(COUNTIF($J$2:J231,"R"),"000"),IF(J231="A",J231&amp;TEXT(COUNTIF($J$2:J231,"A"),"000"),IF(J231="F",J231&amp;TEXT(COUNTIF($J$2:J231,"F"),"000"),IF(J231="M",J231&amp;TEXT(COUNTIF($J$2:J231,"M"),"000"),IF(J231="INS26",J231&amp;TEXT(COUNTIF($J$2:J231,"INS26"),"000"),"")))))))</f>
        <v/>
      </c>
    </row>
    <row r="232" spans="4:11" ht="15.75" customHeight="1">
      <c r="D232" s="12"/>
      <c r="H232" s="12"/>
      <c r="J232" s="106" t="str">
        <f t="shared" si="17"/>
        <v/>
      </c>
      <c r="K232" s="134" t="str">
        <f>IF(J232="INS25",J232&amp;TEXT(COUNTIF($J$2:J232,"INS25"),"000"),IF(J232="C",J232&amp;TEXT(COUNTIF($J$2:J232,"C"),"000"),IF(J232="R",J232&amp;TEXT(COUNTIF($J$2:J232,"R"),"000"),IF(J232="A",J232&amp;TEXT(COUNTIF($J$2:J232,"A"),"000"),IF(J232="F",J232&amp;TEXT(COUNTIF($J$2:J232,"F"),"000"),IF(J232="M",J232&amp;TEXT(COUNTIF($J$2:J232,"M"),"000"),IF(J232="INS26",J232&amp;TEXT(COUNTIF($J$2:J232,"INS26"),"000"),"")))))))</f>
        <v/>
      </c>
    </row>
    <row r="233" spans="4:11" ht="15.75" customHeight="1">
      <c r="D233" s="12"/>
      <c r="H233" s="12"/>
      <c r="J233" s="106" t="str">
        <f t="shared" si="17"/>
        <v/>
      </c>
      <c r="K233" s="134" t="str">
        <f>IF(J233="INS25",J233&amp;TEXT(COUNTIF($J$2:J233,"INS25"),"000"),IF(J233="C",J233&amp;TEXT(COUNTIF($J$2:J233,"C"),"000"),IF(J233="R",J233&amp;TEXT(COUNTIF($J$2:J233,"R"),"000"),IF(J233="A",J233&amp;TEXT(COUNTIF($J$2:J233,"A"),"000"),IF(J233="F",J233&amp;TEXT(COUNTIF($J$2:J233,"F"),"000"),IF(J233="M",J233&amp;TEXT(COUNTIF($J$2:J233,"M"),"000"),IF(J233="INS26",J233&amp;TEXT(COUNTIF($J$2:J233,"INS26"),"000"),"")))))))</f>
        <v/>
      </c>
    </row>
    <row r="234" spans="4:11" ht="15.75" customHeight="1">
      <c r="D234" s="12"/>
      <c r="H234" s="12"/>
      <c r="J234" s="106" t="str">
        <f t="shared" si="17"/>
        <v/>
      </c>
      <c r="K234" s="134" t="str">
        <f>IF(J234="INS25",J234&amp;TEXT(COUNTIF($J$2:J234,"INS25"),"000"),IF(J234="C",J234&amp;TEXT(COUNTIF($J$2:J234,"C"),"000"),IF(J234="R",J234&amp;TEXT(COUNTIF($J$2:J234,"R"),"000"),IF(J234="A",J234&amp;TEXT(COUNTIF($J$2:J234,"A"),"000"),IF(J234="F",J234&amp;TEXT(COUNTIF($J$2:J234,"F"),"000"),IF(J234="M",J234&amp;TEXT(COUNTIF($J$2:J234,"M"),"000"),IF(J234="INS26",J234&amp;TEXT(COUNTIF($J$2:J234,"INS26"),"000"),"")))))))</f>
        <v/>
      </c>
    </row>
    <row r="235" spans="4:11" ht="15.75" customHeight="1">
      <c r="D235" s="12"/>
      <c r="H235" s="12"/>
      <c r="J235" s="106" t="str">
        <f t="shared" si="17"/>
        <v/>
      </c>
      <c r="K235" s="134" t="str">
        <f>IF(J235="INS25",J235&amp;TEXT(COUNTIF($J$2:J235,"INS25"),"000"),IF(J235="C",J235&amp;TEXT(COUNTIF($J$2:J235,"C"),"000"),IF(J235="R",J235&amp;TEXT(COUNTIF($J$2:J235,"R"),"000"),IF(J235="A",J235&amp;TEXT(COUNTIF($J$2:J235,"A"),"000"),IF(J235="F",J235&amp;TEXT(COUNTIF($J$2:J235,"F"),"000"),IF(J235="M",J235&amp;TEXT(COUNTIF($J$2:J235,"M"),"000"),IF(J235="INS26",J235&amp;TEXT(COUNTIF($J$2:J235,"INS26"),"000"),"")))))))</f>
        <v/>
      </c>
    </row>
    <row r="236" spans="4:11" ht="15.75" customHeight="1">
      <c r="D236" s="12"/>
      <c r="H236" s="12"/>
      <c r="J236" s="106" t="str">
        <f t="shared" si="17"/>
        <v/>
      </c>
      <c r="K236" s="134" t="str">
        <f>IF(J236="INS25",J236&amp;TEXT(COUNTIF($J$2:J236,"INS25"),"000"),IF(J236="C",J236&amp;TEXT(COUNTIF($J$2:J236,"C"),"000"),IF(J236="R",J236&amp;TEXT(COUNTIF($J$2:J236,"R"),"000"),IF(J236="A",J236&amp;TEXT(COUNTIF($J$2:J236,"A"),"000"),IF(J236="F",J236&amp;TEXT(COUNTIF($J$2:J236,"F"),"000"),IF(J236="M",J236&amp;TEXT(COUNTIF($J$2:J236,"M"),"000"),IF(J236="INS26",J236&amp;TEXT(COUNTIF($J$2:J236,"INS26"),"000"),"")))))))</f>
        <v/>
      </c>
    </row>
    <row r="237" spans="4:11" ht="15.75" customHeight="1">
      <c r="D237" s="12"/>
      <c r="H237" s="12"/>
      <c r="J237" s="106" t="str">
        <f t="shared" si="17"/>
        <v/>
      </c>
      <c r="K237" s="134" t="str">
        <f>IF(J237="INS25",J237&amp;TEXT(COUNTIF($J$2:J237,"INS25"),"000"),IF(J237="C",J237&amp;TEXT(COUNTIF($J$2:J237,"C"),"000"),IF(J237="R",J237&amp;TEXT(COUNTIF($J$2:J237,"R"),"000"),IF(J237="A",J237&amp;TEXT(COUNTIF($J$2:J237,"A"),"000"),IF(J237="F",J237&amp;TEXT(COUNTIF($J$2:J237,"F"),"000"),IF(J237="M",J237&amp;TEXT(COUNTIF($J$2:J237,"M"),"000"),IF(J237="INS26",J237&amp;TEXT(COUNTIF($J$2:J237,"INS26"),"000"),"")))))))</f>
        <v/>
      </c>
    </row>
    <row r="238" spans="4:11" ht="15.75" customHeight="1">
      <c r="D238" s="12"/>
      <c r="H238" s="12"/>
      <c r="J238" s="106" t="str">
        <f t="shared" si="17"/>
        <v/>
      </c>
      <c r="K238" s="134" t="str">
        <f>IF(J238="INS25",J238&amp;TEXT(COUNTIF($J$2:J238,"INS25"),"000"),IF(J238="C",J238&amp;TEXT(COUNTIF($J$2:J238,"C"),"000"),IF(J238="R",J238&amp;TEXT(COUNTIF($J$2:J238,"R"),"000"),IF(J238="A",J238&amp;TEXT(COUNTIF($J$2:J238,"A"),"000"),IF(J238="F",J238&amp;TEXT(COUNTIF($J$2:J238,"F"),"000"),IF(J238="M",J238&amp;TEXT(COUNTIF($J$2:J238,"M"),"000"),IF(J238="INS26",J238&amp;TEXT(COUNTIF($J$2:J238,"INS26"),"000"),"")))))))</f>
        <v/>
      </c>
    </row>
    <row r="239" spans="4:11" ht="15.75" customHeight="1">
      <c r="D239" s="12"/>
      <c r="H239" s="12"/>
      <c r="J239" s="106" t="str">
        <f t="shared" si="17"/>
        <v/>
      </c>
      <c r="K239" s="134" t="str">
        <f>IF(J239="INS25",J239&amp;TEXT(COUNTIF($J$2:J239,"INS25"),"000"),IF(J239="C",J239&amp;TEXT(COUNTIF($J$2:J239,"C"),"000"),IF(J239="R",J239&amp;TEXT(COUNTIF($J$2:J239,"R"),"000"),IF(J239="A",J239&amp;TEXT(COUNTIF($J$2:J239,"A"),"000"),IF(J239="F",J239&amp;TEXT(COUNTIF($J$2:J239,"F"),"000"),IF(J239="M",J239&amp;TEXT(COUNTIF($J$2:J239,"M"),"000"),IF(J239="INS26",J239&amp;TEXT(COUNTIF($J$2:J239,"INS26"),"000"),"")))))))</f>
        <v/>
      </c>
    </row>
    <row r="240" spans="4:11" ht="15.75" customHeight="1">
      <c r="D240" s="12"/>
      <c r="H240" s="12"/>
      <c r="J240" s="106" t="str">
        <f t="shared" si="17"/>
        <v/>
      </c>
      <c r="K240" s="134" t="str">
        <f>IF(J240="INS25",J240&amp;TEXT(COUNTIF($J$2:J240,"INS25"),"000"),IF(J240="C",J240&amp;TEXT(COUNTIF($J$2:J240,"C"),"000"),IF(J240="R",J240&amp;TEXT(COUNTIF($J$2:J240,"R"),"000"),IF(J240="A",J240&amp;TEXT(COUNTIF($J$2:J240,"A"),"000"),IF(J240="F",J240&amp;TEXT(COUNTIF($J$2:J240,"F"),"000"),IF(J240="M",J240&amp;TEXT(COUNTIF($J$2:J240,"M"),"000"),IF(J240="INS26",J240&amp;TEXT(COUNTIF($J$2:J240,"INS26"),"000"),"")))))))</f>
        <v/>
      </c>
    </row>
    <row r="241" spans="4:11" ht="15.75" customHeight="1">
      <c r="D241" s="12"/>
      <c r="H241" s="12"/>
      <c r="J241" s="106" t="str">
        <f t="shared" si="17"/>
        <v/>
      </c>
      <c r="K241" s="134" t="str">
        <f>IF(J241="INS25",J241&amp;TEXT(COUNTIF($J$2:J241,"INS25"),"000"),IF(J241="C",J241&amp;TEXT(COUNTIF($J$2:J241,"C"),"000"),IF(J241="R",J241&amp;TEXT(COUNTIF($J$2:J241,"R"),"000"),IF(J241="A",J241&amp;TEXT(COUNTIF($J$2:J241,"A"),"000"),IF(J241="F",J241&amp;TEXT(COUNTIF($J$2:J241,"F"),"000"),IF(J241="M",J241&amp;TEXT(COUNTIF($J$2:J241,"M"),"000"),IF(J241="INS26",J241&amp;TEXT(COUNTIF($J$2:J241,"INS26"),"000"),"")))))))</f>
        <v/>
      </c>
    </row>
    <row r="242" spans="4:11" ht="15.75" customHeight="1">
      <c r="D242" s="12"/>
      <c r="H242" s="12"/>
      <c r="J242" s="106" t="str">
        <f t="shared" si="17"/>
        <v/>
      </c>
      <c r="K242" s="134" t="str">
        <f>IF(J242="INS25",J242&amp;TEXT(COUNTIF($J$2:J242,"INS25"),"000"),IF(J242="C",J242&amp;TEXT(COUNTIF($J$2:J242,"C"),"000"),IF(J242="R",J242&amp;TEXT(COUNTIF($J$2:J242,"R"),"000"),IF(J242="A",J242&amp;TEXT(COUNTIF($J$2:J242,"A"),"000"),IF(J242="F",J242&amp;TEXT(COUNTIF($J$2:J242,"F"),"000"),IF(J242="M",J242&amp;TEXT(COUNTIF($J$2:J242,"M"),"000"),IF(J242="INS26",J242&amp;TEXT(COUNTIF($J$2:J242,"INS26"),"000"),"")))))))</f>
        <v/>
      </c>
    </row>
    <row r="243" spans="4:11" ht="15.75" customHeight="1">
      <c r="D243" s="12"/>
      <c r="H243" s="12"/>
      <c r="J243" s="106" t="str">
        <f t="shared" si="17"/>
        <v/>
      </c>
      <c r="K243" s="134" t="str">
        <f>IF(J243="INS25",J243&amp;TEXT(COUNTIF($J$2:J243,"INS25"),"000"),IF(J243="C",J243&amp;TEXT(COUNTIF($J$2:J243,"C"),"000"),IF(J243="R",J243&amp;TEXT(COUNTIF($J$2:J243,"R"),"000"),IF(J243="A",J243&amp;TEXT(COUNTIF($J$2:J243,"A"),"000"),IF(J243="F",J243&amp;TEXT(COUNTIF($J$2:J243,"F"),"000"),IF(J243="M",J243&amp;TEXT(COUNTIF($J$2:J243,"M"),"000"),IF(J243="INS26",J243&amp;TEXT(COUNTIF($J$2:J243,"INS26"),"000"),"")))))))</f>
        <v/>
      </c>
    </row>
    <row r="244" spans="4:11" ht="15.75" customHeight="1">
      <c r="D244" s="12"/>
      <c r="H244" s="12"/>
      <c r="J244" s="106" t="str">
        <f t="shared" si="17"/>
        <v/>
      </c>
      <c r="K244" s="134" t="str">
        <f>IF(J244="INS25",J244&amp;TEXT(COUNTIF($J$2:J244,"INS25"),"000"),IF(J244="C",J244&amp;TEXT(COUNTIF($J$2:J244,"C"),"000"),IF(J244="R",J244&amp;TEXT(COUNTIF($J$2:J244,"R"),"000"),IF(J244="A",J244&amp;TEXT(COUNTIF($J$2:J244,"A"),"000"),IF(J244="F",J244&amp;TEXT(COUNTIF($J$2:J244,"F"),"000"),IF(J244="M",J244&amp;TEXT(COUNTIF($J$2:J244,"M"),"000"),IF(J244="INS26",J244&amp;TEXT(COUNTIF($J$2:J244,"INS26"),"000"),"")))))))</f>
        <v/>
      </c>
    </row>
    <row r="245" spans="4:11" ht="15.75" customHeight="1">
      <c r="D245" s="12"/>
      <c r="H245" s="12"/>
      <c r="J245" s="106" t="str">
        <f t="shared" si="17"/>
        <v/>
      </c>
      <c r="K245" s="134" t="str">
        <f>IF(J245="INS25",J245&amp;TEXT(COUNTIF($J$2:J245,"INS25"),"000"),IF(J245="C",J245&amp;TEXT(COUNTIF($J$2:J245,"C"),"000"),IF(J245="R",J245&amp;TEXT(COUNTIF($J$2:J245,"R"),"000"),IF(J245="A",J245&amp;TEXT(COUNTIF($J$2:J245,"A"),"000"),IF(J245="F",J245&amp;TEXT(COUNTIF($J$2:J245,"F"),"000"),IF(J245="M",J245&amp;TEXT(COUNTIF($J$2:J245,"M"),"000"),IF(J245="INS26",J245&amp;TEXT(COUNTIF($J$2:J245,"INS26"),"000"),"")))))))</f>
        <v/>
      </c>
    </row>
    <row r="246" spans="4:11" ht="15.75" customHeight="1">
      <c r="D246" s="12"/>
      <c r="H246" s="12"/>
      <c r="J246" s="106" t="str">
        <f t="shared" si="17"/>
        <v/>
      </c>
      <c r="K246" s="134" t="str">
        <f>IF(J246="INS25",J246&amp;TEXT(COUNTIF($J$2:J246,"INS25"),"000"),IF(J246="C",J246&amp;TEXT(COUNTIF($J$2:J246,"C"),"000"),IF(J246="R",J246&amp;TEXT(COUNTIF($J$2:J246,"R"),"000"),IF(J246="A",J246&amp;TEXT(COUNTIF($J$2:J246,"A"),"000"),IF(J246="F",J246&amp;TEXT(COUNTIF($J$2:J246,"F"),"000"),IF(J246="M",J246&amp;TEXT(COUNTIF($J$2:J246,"M"),"000"),IF(J246="INS26",J246&amp;TEXT(COUNTIF($J$2:J246,"INS26"),"000"),"")))))))</f>
        <v/>
      </c>
    </row>
    <row r="247" spans="4:11" ht="15.75" customHeight="1">
      <c r="D247" s="12"/>
      <c r="H247" s="12"/>
      <c r="J247" s="106" t="str">
        <f t="shared" si="17"/>
        <v/>
      </c>
      <c r="K247" s="134" t="str">
        <f>IF(J247="INS25",J247&amp;TEXT(COUNTIF($J$2:J247,"INS25"),"000"),IF(J247="C",J247&amp;TEXT(COUNTIF($J$2:J247,"C"),"000"),IF(J247="R",J247&amp;TEXT(COUNTIF($J$2:J247,"R"),"000"),IF(J247="A",J247&amp;TEXT(COUNTIF($J$2:J247,"A"),"000"),IF(J247="F",J247&amp;TEXT(COUNTIF($J$2:J247,"F"),"000"),IF(J247="M",J247&amp;TEXT(COUNTIF($J$2:J247,"M"),"000"),IF(J247="INS26",J247&amp;TEXT(COUNTIF($J$2:J247,"INS26"),"000"),"")))))))</f>
        <v/>
      </c>
    </row>
    <row r="248" spans="4:11" ht="15.75" customHeight="1">
      <c r="D248" s="12"/>
      <c r="H248" s="12"/>
      <c r="J248" s="106" t="str">
        <f t="shared" si="17"/>
        <v/>
      </c>
      <c r="K248" s="134" t="str">
        <f>IF(J248="INS25",J248&amp;TEXT(COUNTIF($J$2:J248,"INS25"),"000"),IF(J248="C",J248&amp;TEXT(COUNTIF($J$2:J248,"C"),"000"),IF(J248="R",J248&amp;TEXT(COUNTIF($J$2:J248,"R"),"000"),IF(J248="A",J248&amp;TEXT(COUNTIF($J$2:J248,"A"),"000"),IF(J248="F",J248&amp;TEXT(COUNTIF($J$2:J248,"F"),"000"),IF(J248="M",J248&amp;TEXT(COUNTIF($J$2:J248,"M"),"000"),IF(J248="INS26",J248&amp;TEXT(COUNTIF($J$2:J248,"INS26"),"000"),"")))))))</f>
        <v/>
      </c>
    </row>
    <row r="249" spans="4:11" ht="15.75" customHeight="1">
      <c r="D249" s="12"/>
      <c r="H249" s="12"/>
      <c r="J249" s="106" t="str">
        <f t="shared" si="17"/>
        <v/>
      </c>
      <c r="K249" s="134" t="str">
        <f>IF(J249="INS25",J249&amp;TEXT(COUNTIF($J$2:J249,"INS25"),"000"),IF(J249="C",J249&amp;TEXT(COUNTIF($J$2:J249,"C"),"000"),IF(J249="R",J249&amp;TEXT(COUNTIF($J$2:J249,"R"),"000"),IF(J249="A",J249&amp;TEXT(COUNTIF($J$2:J249,"A"),"000"),IF(J249="F",J249&amp;TEXT(COUNTIF($J$2:J249,"F"),"000"),IF(J249="M",J249&amp;TEXT(COUNTIF($J$2:J249,"M"),"000"),IF(J249="INS26",J249&amp;TEXT(COUNTIF($J$2:J249,"INS26"),"000"),"")))))))</f>
        <v/>
      </c>
    </row>
    <row r="250" spans="4:11" ht="15.75" customHeight="1">
      <c r="D250" s="12"/>
      <c r="H250" s="12"/>
      <c r="J250" s="106" t="str">
        <f t="shared" si="17"/>
        <v/>
      </c>
      <c r="K250" s="134" t="str">
        <f>IF(J250="INS25",J250&amp;TEXT(COUNTIF($J$2:J250,"INS25"),"000"),IF(J250="C",J250&amp;TEXT(COUNTIF($J$2:J250,"C"),"000"),IF(J250="R",J250&amp;TEXT(COUNTIF($J$2:J250,"R"),"000"),IF(J250="A",J250&amp;TEXT(COUNTIF($J$2:J250,"A"),"000"),IF(J250="F",J250&amp;TEXT(COUNTIF($J$2:J250,"F"),"000"),IF(J250="M",J250&amp;TEXT(COUNTIF($J$2:J250,"M"),"000"),IF(J250="INS26",J250&amp;TEXT(COUNTIF($J$2:J250,"INS26"),"000"),"")))))))</f>
        <v/>
      </c>
    </row>
    <row r="251" spans="4:11" ht="15.75" customHeight="1">
      <c r="D251" s="12"/>
      <c r="H251" s="12"/>
    </row>
    <row r="252" spans="4:11" ht="15.75" customHeight="1">
      <c r="D252" s="12"/>
      <c r="H252" s="12"/>
    </row>
    <row r="253" spans="4:11" ht="15.75" customHeight="1">
      <c r="D253" s="12"/>
      <c r="H253" s="12"/>
    </row>
    <row r="254" spans="4:11" ht="15.75" customHeight="1">
      <c r="D254" s="12"/>
      <c r="H254" s="12"/>
    </row>
    <row r="255" spans="4:11" ht="15.75" customHeight="1">
      <c r="D255" s="12"/>
      <c r="H255" s="12"/>
    </row>
    <row r="256" spans="4:11" ht="15.75" customHeight="1">
      <c r="D256" s="12"/>
      <c r="H256" s="12"/>
    </row>
    <row r="257" spans="4:8" ht="15.75" customHeight="1">
      <c r="D257" s="12"/>
      <c r="H257" s="12"/>
    </row>
    <row r="258" spans="4:8" ht="15.75" customHeight="1">
      <c r="D258" s="12"/>
      <c r="H258" s="12"/>
    </row>
    <row r="259" spans="4:8" ht="15.75" customHeight="1">
      <c r="D259" s="12"/>
      <c r="H259" s="12"/>
    </row>
    <row r="260" spans="4:8" ht="15.75" customHeight="1">
      <c r="D260" s="12"/>
      <c r="H260" s="12"/>
    </row>
    <row r="261" spans="4:8" ht="15.75" customHeight="1">
      <c r="D261" s="12"/>
      <c r="H261" s="12"/>
    </row>
    <row r="262" spans="4:8" ht="15.75" customHeight="1">
      <c r="D262" s="12"/>
      <c r="H262" s="12"/>
    </row>
    <row r="263" spans="4:8" ht="15.75" customHeight="1">
      <c r="D263" s="12"/>
      <c r="H263" s="12"/>
    </row>
    <row r="264" spans="4:8" ht="15.75" customHeight="1">
      <c r="D264" s="12"/>
      <c r="H264" s="12"/>
    </row>
    <row r="265" spans="4:8" ht="15.75" customHeight="1">
      <c r="D265" s="12"/>
      <c r="H265" s="12"/>
    </row>
    <row r="266" spans="4:8" ht="15.75" customHeight="1">
      <c r="D266" s="12"/>
      <c r="H266" s="12"/>
    </row>
    <row r="267" spans="4:8" ht="15.75" customHeight="1">
      <c r="D267" s="12"/>
      <c r="H267" s="12"/>
    </row>
    <row r="268" spans="4:8" ht="15.75" customHeight="1">
      <c r="D268" s="12"/>
      <c r="H268" s="12"/>
    </row>
    <row r="269" spans="4:8" ht="15.75" customHeight="1">
      <c r="D269" s="12"/>
      <c r="H269" s="12"/>
    </row>
    <row r="270" spans="4:8" ht="15.75" customHeight="1">
      <c r="D270" s="12"/>
      <c r="H270" s="12"/>
    </row>
    <row r="271" spans="4:8" ht="15.75" customHeight="1">
      <c r="D271" s="12"/>
      <c r="H271" s="12"/>
    </row>
    <row r="272" spans="4:8" ht="15.75" customHeight="1">
      <c r="D272" s="12"/>
      <c r="H272" s="12"/>
    </row>
    <row r="273" spans="4:8" ht="15.75" customHeight="1">
      <c r="D273" s="12"/>
      <c r="H273" s="12"/>
    </row>
    <row r="274" spans="4:8" ht="15.75" customHeight="1">
      <c r="D274" s="12"/>
      <c r="H274" s="12"/>
    </row>
    <row r="275" spans="4:8" ht="15.75" customHeight="1">
      <c r="D275" s="12"/>
      <c r="H275" s="12"/>
    </row>
    <row r="276" spans="4:8" ht="15.75" customHeight="1">
      <c r="D276" s="12"/>
      <c r="H276" s="12"/>
    </row>
    <row r="277" spans="4:8" ht="15.75" customHeight="1">
      <c r="D277" s="12"/>
      <c r="H277" s="12"/>
    </row>
    <row r="278" spans="4:8" ht="15.75" customHeight="1">
      <c r="D278" s="12"/>
      <c r="H278" s="12"/>
    </row>
    <row r="279" spans="4:8" ht="15.75" customHeight="1">
      <c r="D279" s="12"/>
      <c r="H279" s="12"/>
    </row>
    <row r="280" spans="4:8" ht="15.75" customHeight="1">
      <c r="D280" s="12"/>
      <c r="H280" s="12"/>
    </row>
    <row r="281" spans="4:8" ht="15.75" customHeight="1">
      <c r="D281" s="12"/>
      <c r="H281" s="12"/>
    </row>
    <row r="282" spans="4:8" ht="15.75" customHeight="1">
      <c r="D282" s="12"/>
      <c r="H282" s="12"/>
    </row>
    <row r="283" spans="4:8" ht="15.75" customHeight="1">
      <c r="D283" s="12"/>
      <c r="H283" s="12"/>
    </row>
    <row r="284" spans="4:8" ht="15.75" customHeight="1">
      <c r="D284" s="12"/>
      <c r="H284" s="12"/>
    </row>
    <row r="285" spans="4:8" ht="15.75" customHeight="1">
      <c r="D285" s="12"/>
      <c r="H285" s="12"/>
    </row>
    <row r="286" spans="4:8" ht="15.75" customHeight="1">
      <c r="D286" s="12"/>
      <c r="H286" s="12"/>
    </row>
    <row r="287" spans="4:8" ht="15.75" customHeight="1">
      <c r="D287" s="12"/>
      <c r="H287" s="12"/>
    </row>
    <row r="288" spans="4:8" ht="15.75" customHeight="1">
      <c r="D288" s="12"/>
      <c r="H288" s="12"/>
    </row>
    <row r="289" spans="4:8" ht="15.75" customHeight="1">
      <c r="D289" s="12"/>
      <c r="H289" s="12"/>
    </row>
    <row r="290" spans="4:8" ht="15.75" customHeight="1">
      <c r="D290" s="12"/>
      <c r="H290" s="12"/>
    </row>
    <row r="291" spans="4:8" ht="15.75" customHeight="1">
      <c r="D291" s="12"/>
      <c r="H291" s="12"/>
    </row>
    <row r="292" spans="4:8" ht="15.75" customHeight="1">
      <c r="D292" s="12"/>
      <c r="H292" s="12"/>
    </row>
    <row r="293" spans="4:8" ht="15.75" customHeight="1">
      <c r="D293" s="12"/>
      <c r="H293" s="12"/>
    </row>
    <row r="294" spans="4:8" ht="15.75" customHeight="1">
      <c r="D294" s="12"/>
      <c r="H294" s="12"/>
    </row>
    <row r="295" spans="4:8" ht="15.75" customHeight="1">
      <c r="D295" s="12"/>
      <c r="H295" s="12"/>
    </row>
    <row r="296" spans="4:8" ht="15.75" customHeight="1">
      <c r="D296" s="12"/>
      <c r="H296" s="12"/>
    </row>
    <row r="297" spans="4:8" ht="15.75" customHeight="1">
      <c r="D297" s="12"/>
      <c r="H297" s="12"/>
    </row>
    <row r="298" spans="4:8" ht="15.75" customHeight="1">
      <c r="D298" s="12"/>
      <c r="H298" s="12"/>
    </row>
    <row r="299" spans="4:8" ht="15.75" customHeight="1">
      <c r="D299" s="12"/>
      <c r="H299" s="12"/>
    </row>
    <row r="300" spans="4:8" ht="15.75" customHeight="1">
      <c r="D300" s="12"/>
      <c r="H300" s="12"/>
    </row>
    <row r="301" spans="4:8" ht="15.75" customHeight="1">
      <c r="D301" s="12"/>
      <c r="H301" s="12"/>
    </row>
    <row r="302" spans="4:8" ht="15.75" customHeight="1">
      <c r="D302" s="12"/>
      <c r="H302" s="12"/>
    </row>
    <row r="303" spans="4:8" ht="15.75" customHeight="1">
      <c r="D303" s="12"/>
      <c r="H303" s="12"/>
    </row>
    <row r="304" spans="4:8" ht="15.75" customHeight="1">
      <c r="D304" s="12"/>
      <c r="H304" s="12"/>
    </row>
    <row r="305" spans="4:8" ht="15.75" customHeight="1">
      <c r="D305" s="12"/>
      <c r="H305" s="12"/>
    </row>
    <row r="306" spans="4:8" ht="15.75" customHeight="1">
      <c r="D306" s="12"/>
      <c r="H306" s="12"/>
    </row>
    <row r="307" spans="4:8" ht="15.75" customHeight="1">
      <c r="D307" s="12"/>
      <c r="H307" s="12"/>
    </row>
    <row r="308" spans="4:8" ht="15.75" customHeight="1">
      <c r="D308" s="12"/>
      <c r="H308" s="12"/>
    </row>
    <row r="309" spans="4:8" ht="15.75" customHeight="1">
      <c r="D309" s="12"/>
      <c r="H309" s="12"/>
    </row>
    <row r="310" spans="4:8" ht="15.75" customHeight="1">
      <c r="D310" s="12"/>
      <c r="H310" s="12"/>
    </row>
    <row r="311" spans="4:8" ht="15.75" customHeight="1">
      <c r="D311" s="12"/>
      <c r="H311" s="12"/>
    </row>
    <row r="312" spans="4:8" ht="15.75" customHeight="1">
      <c r="D312" s="12"/>
      <c r="H312" s="12"/>
    </row>
    <row r="313" spans="4:8" ht="15.75" customHeight="1">
      <c r="D313" s="12"/>
      <c r="H313" s="12"/>
    </row>
    <row r="314" spans="4:8" ht="15.75" customHeight="1">
      <c r="D314" s="12"/>
      <c r="H314" s="12"/>
    </row>
    <row r="315" spans="4:8" ht="15.75" customHeight="1">
      <c r="D315" s="12"/>
      <c r="H315" s="12"/>
    </row>
    <row r="316" spans="4:8" ht="15.75" customHeight="1">
      <c r="D316" s="12"/>
      <c r="H316" s="12"/>
    </row>
    <row r="317" spans="4:8" ht="15.75" customHeight="1">
      <c r="D317" s="12"/>
      <c r="H317" s="12"/>
    </row>
    <row r="318" spans="4:8" ht="15.75" customHeight="1">
      <c r="D318" s="12"/>
      <c r="H318" s="12"/>
    </row>
    <row r="319" spans="4:8" ht="15.75" customHeight="1">
      <c r="D319" s="12"/>
      <c r="H319" s="12"/>
    </row>
    <row r="320" spans="4:8" ht="15.75" customHeight="1">
      <c r="D320" s="12"/>
      <c r="H320" s="12"/>
    </row>
    <row r="321" spans="4:8" ht="15.75" customHeight="1">
      <c r="D321" s="12"/>
      <c r="H321" s="12"/>
    </row>
    <row r="322" spans="4:8" ht="15.75" customHeight="1">
      <c r="D322" s="12"/>
      <c r="H322" s="12"/>
    </row>
    <row r="323" spans="4:8" ht="15.75" customHeight="1">
      <c r="D323" s="12"/>
      <c r="H323" s="12"/>
    </row>
    <row r="324" spans="4:8" ht="15.75" customHeight="1">
      <c r="D324" s="12"/>
      <c r="H324" s="12"/>
    </row>
    <row r="325" spans="4:8" ht="15.75" customHeight="1">
      <c r="D325" s="12"/>
      <c r="H325" s="12"/>
    </row>
    <row r="326" spans="4:8" ht="15.75" customHeight="1">
      <c r="D326" s="12"/>
      <c r="H326" s="12"/>
    </row>
    <row r="327" spans="4:8" ht="15.75" customHeight="1">
      <c r="D327" s="12"/>
      <c r="H327" s="12"/>
    </row>
    <row r="328" spans="4:8" ht="15.75" customHeight="1">
      <c r="D328" s="12"/>
      <c r="H328" s="12"/>
    </row>
    <row r="329" spans="4:8" ht="15.75" customHeight="1">
      <c r="D329" s="12"/>
      <c r="H329" s="12"/>
    </row>
    <row r="330" spans="4:8" ht="15.75" customHeight="1">
      <c r="D330" s="12"/>
      <c r="H330" s="12"/>
    </row>
    <row r="331" spans="4:8" ht="15.75" customHeight="1">
      <c r="D331" s="12"/>
      <c r="H331" s="12"/>
    </row>
    <row r="332" spans="4:8" ht="15.75" customHeight="1">
      <c r="D332" s="12"/>
      <c r="H332" s="12"/>
    </row>
    <row r="333" spans="4:8" ht="15.75" customHeight="1">
      <c r="D333" s="12"/>
      <c r="H333" s="12"/>
    </row>
    <row r="334" spans="4:8" ht="15.75" customHeight="1">
      <c r="D334" s="12"/>
      <c r="H334" s="12"/>
    </row>
    <row r="335" spans="4:8" ht="15.75" customHeight="1">
      <c r="D335" s="12"/>
      <c r="H335" s="12"/>
    </row>
    <row r="336" spans="4:8" ht="15.75" customHeight="1">
      <c r="D336" s="12"/>
      <c r="H336" s="12"/>
    </row>
    <row r="337" spans="4:8" ht="15.75" customHeight="1">
      <c r="D337" s="12"/>
      <c r="H337" s="12"/>
    </row>
    <row r="338" spans="4:8" ht="15.75" customHeight="1">
      <c r="D338" s="12"/>
      <c r="H338" s="12"/>
    </row>
    <row r="339" spans="4:8" ht="15.75" customHeight="1">
      <c r="D339" s="12"/>
      <c r="H339" s="12"/>
    </row>
    <row r="340" spans="4:8" ht="15.75" customHeight="1">
      <c r="D340" s="12"/>
      <c r="H340" s="12"/>
    </row>
    <row r="341" spans="4:8" ht="15.75" customHeight="1">
      <c r="D341" s="12"/>
      <c r="H341" s="12"/>
    </row>
    <row r="342" spans="4:8" ht="15.75" customHeight="1">
      <c r="D342" s="12"/>
      <c r="H342" s="12"/>
    </row>
    <row r="343" spans="4:8" ht="15.75" customHeight="1">
      <c r="D343" s="12"/>
      <c r="H343" s="12"/>
    </row>
    <row r="344" spans="4:8" ht="15.75" customHeight="1">
      <c r="D344" s="12"/>
      <c r="H344" s="12"/>
    </row>
    <row r="345" spans="4:8" ht="15.75" customHeight="1">
      <c r="D345" s="12"/>
      <c r="H345" s="12"/>
    </row>
    <row r="346" spans="4:8" ht="15.75" customHeight="1">
      <c r="D346" s="12"/>
      <c r="H346" s="12"/>
    </row>
    <row r="347" spans="4:8" ht="15.75" customHeight="1">
      <c r="D347" s="12"/>
      <c r="H347" s="12"/>
    </row>
    <row r="348" spans="4:8" ht="15.75" customHeight="1">
      <c r="D348" s="12"/>
      <c r="H348" s="12"/>
    </row>
    <row r="349" spans="4:8" ht="15.75" customHeight="1">
      <c r="D349" s="12"/>
      <c r="H349" s="12"/>
    </row>
    <row r="350" spans="4:8" ht="15.75" customHeight="1">
      <c r="D350" s="12"/>
      <c r="H350" s="12"/>
    </row>
    <row r="351" spans="4:8" ht="15.75" customHeight="1">
      <c r="D351" s="12"/>
      <c r="H351" s="12"/>
    </row>
    <row r="352" spans="4:8" ht="15.75" customHeight="1">
      <c r="D352" s="12"/>
      <c r="H352" s="12"/>
    </row>
    <row r="353" spans="4:8" ht="15.75" customHeight="1">
      <c r="D353" s="12"/>
      <c r="H353" s="12"/>
    </row>
    <row r="354" spans="4:8" ht="15.75" customHeight="1">
      <c r="D354" s="12"/>
      <c r="H354" s="12"/>
    </row>
    <row r="355" spans="4:8" ht="15.75" customHeight="1">
      <c r="D355" s="12"/>
      <c r="H355" s="12"/>
    </row>
    <row r="356" spans="4:8" ht="15.75" customHeight="1">
      <c r="D356" s="12"/>
      <c r="H356" s="12"/>
    </row>
    <row r="357" spans="4:8" ht="15.75" customHeight="1">
      <c r="D357" s="12"/>
      <c r="H357" s="12"/>
    </row>
    <row r="358" spans="4:8" ht="15.75" customHeight="1">
      <c r="D358" s="12"/>
      <c r="H358" s="12"/>
    </row>
    <row r="359" spans="4:8" ht="15.75" customHeight="1">
      <c r="D359" s="12"/>
      <c r="H359" s="12"/>
    </row>
    <row r="360" spans="4:8" ht="15.75" customHeight="1">
      <c r="D360" s="12"/>
      <c r="H360" s="12"/>
    </row>
    <row r="361" spans="4:8" ht="15.75" customHeight="1">
      <c r="D361" s="12"/>
      <c r="H361" s="12"/>
    </row>
    <row r="362" spans="4:8" ht="15.75" customHeight="1">
      <c r="D362" s="12"/>
      <c r="H362" s="12"/>
    </row>
    <row r="363" spans="4:8" ht="15.75" customHeight="1">
      <c r="D363" s="12"/>
      <c r="H363" s="12"/>
    </row>
    <row r="364" spans="4:8" ht="15.75" customHeight="1">
      <c r="D364" s="12"/>
      <c r="H364" s="12"/>
    </row>
    <row r="365" spans="4:8" ht="15.75" customHeight="1">
      <c r="D365" s="12"/>
      <c r="H365" s="12"/>
    </row>
    <row r="366" spans="4:8" ht="15.75" customHeight="1">
      <c r="D366" s="12"/>
      <c r="H366" s="12"/>
    </row>
    <row r="367" spans="4:8" ht="15.75" customHeight="1">
      <c r="D367" s="12"/>
      <c r="H367" s="12"/>
    </row>
    <row r="368" spans="4:8" ht="15.75" customHeight="1">
      <c r="D368" s="12"/>
      <c r="H368" s="12"/>
    </row>
    <row r="369" spans="4:8" ht="15.75" customHeight="1">
      <c r="D369" s="12"/>
      <c r="H369" s="12"/>
    </row>
    <row r="370" spans="4:8" ht="15.75" customHeight="1">
      <c r="D370" s="12"/>
      <c r="H370" s="12"/>
    </row>
    <row r="371" spans="4:8" ht="15.75" customHeight="1">
      <c r="D371" s="12"/>
      <c r="H371" s="12"/>
    </row>
    <row r="372" spans="4:8" ht="15.75" customHeight="1">
      <c r="D372" s="12"/>
      <c r="H372" s="12"/>
    </row>
    <row r="373" spans="4:8" ht="15.75" customHeight="1">
      <c r="D373" s="12"/>
      <c r="H373" s="12"/>
    </row>
    <row r="374" spans="4:8" ht="15.75" customHeight="1">
      <c r="D374" s="12"/>
      <c r="H374" s="12"/>
    </row>
    <row r="375" spans="4:8" ht="15.75" customHeight="1">
      <c r="D375" s="12"/>
      <c r="H375" s="12"/>
    </row>
    <row r="376" spans="4:8" ht="15.75" customHeight="1">
      <c r="D376" s="12"/>
      <c r="H376" s="12"/>
    </row>
    <row r="377" spans="4:8" ht="15.75" customHeight="1">
      <c r="D377" s="12"/>
      <c r="H377" s="12"/>
    </row>
    <row r="378" spans="4:8" ht="15.75" customHeight="1">
      <c r="D378" s="12"/>
      <c r="H378" s="12"/>
    </row>
    <row r="379" spans="4:8" ht="15.75" customHeight="1">
      <c r="D379" s="12"/>
      <c r="H379" s="12"/>
    </row>
    <row r="380" spans="4:8" ht="15.75" customHeight="1">
      <c r="D380" s="12"/>
      <c r="H380" s="12"/>
    </row>
    <row r="381" spans="4:8" ht="15.75" customHeight="1">
      <c r="D381" s="12"/>
      <c r="H381" s="12"/>
    </row>
    <row r="382" spans="4:8" ht="15.75" customHeight="1">
      <c r="D382" s="12"/>
      <c r="H382" s="12"/>
    </row>
    <row r="383" spans="4:8" ht="15.75" customHeight="1">
      <c r="D383" s="12"/>
      <c r="H383" s="12"/>
    </row>
    <row r="384" spans="4:8" ht="15.75" customHeight="1">
      <c r="D384" s="12"/>
      <c r="H384" s="12"/>
    </row>
    <row r="385" spans="4:8" ht="15.75" customHeight="1">
      <c r="D385" s="12"/>
      <c r="H385" s="12"/>
    </row>
    <row r="386" spans="4:8" ht="15.75" customHeight="1">
      <c r="D386" s="12"/>
      <c r="H386" s="12"/>
    </row>
    <row r="387" spans="4:8" ht="15.75" customHeight="1">
      <c r="D387" s="12"/>
      <c r="H387" s="12"/>
    </row>
    <row r="388" spans="4:8" ht="15.75" customHeight="1">
      <c r="D388" s="12"/>
      <c r="H388" s="12"/>
    </row>
    <row r="389" spans="4:8" ht="15.75" customHeight="1">
      <c r="D389" s="12"/>
      <c r="H389" s="12"/>
    </row>
    <row r="390" spans="4:8" ht="15.75" customHeight="1">
      <c r="D390" s="12"/>
      <c r="H390" s="12"/>
    </row>
    <row r="391" spans="4:8" ht="15.75" customHeight="1">
      <c r="D391" s="12"/>
      <c r="H391" s="12"/>
    </row>
    <row r="392" spans="4:8" ht="15.75" customHeight="1">
      <c r="D392" s="12"/>
      <c r="H392" s="12"/>
    </row>
    <row r="393" spans="4:8" ht="15.75" customHeight="1">
      <c r="D393" s="12"/>
      <c r="H393" s="12"/>
    </row>
    <row r="394" spans="4:8" ht="15.75" customHeight="1">
      <c r="D394" s="12"/>
      <c r="H394" s="12"/>
    </row>
    <row r="395" spans="4:8" ht="15.75" customHeight="1">
      <c r="D395" s="12"/>
      <c r="H395" s="12"/>
    </row>
    <row r="396" spans="4:8" ht="15.75" customHeight="1">
      <c r="D396" s="12"/>
      <c r="H396" s="12"/>
    </row>
    <row r="397" spans="4:8" ht="15.75" customHeight="1">
      <c r="D397" s="12"/>
      <c r="H397" s="12"/>
    </row>
    <row r="398" spans="4:8" ht="15.75" customHeight="1">
      <c r="D398" s="12"/>
      <c r="H398" s="12"/>
    </row>
    <row r="399" spans="4:8" ht="15.75" customHeight="1">
      <c r="D399" s="12"/>
      <c r="H399" s="12"/>
    </row>
    <row r="400" spans="4:8" ht="15.75" customHeight="1">
      <c r="D400" s="12"/>
      <c r="H400" s="12"/>
    </row>
    <row r="401" spans="4:8" ht="15.75" customHeight="1">
      <c r="D401" s="12"/>
      <c r="H401" s="12"/>
    </row>
    <row r="402" spans="4:8" ht="15.75" customHeight="1">
      <c r="D402" s="12"/>
      <c r="H402" s="12"/>
    </row>
    <row r="403" spans="4:8" ht="15.75" customHeight="1">
      <c r="D403" s="12"/>
      <c r="H403" s="12"/>
    </row>
    <row r="404" spans="4:8" ht="15.75" customHeight="1">
      <c r="D404" s="12"/>
      <c r="H404" s="12"/>
    </row>
    <row r="405" spans="4:8" ht="15.75" customHeight="1">
      <c r="D405" s="12"/>
      <c r="H405" s="12"/>
    </row>
    <row r="406" spans="4:8" ht="15.75" customHeight="1">
      <c r="D406" s="12"/>
      <c r="H406" s="12"/>
    </row>
    <row r="407" spans="4:8" ht="15.75" customHeight="1">
      <c r="D407" s="12"/>
      <c r="H407" s="12"/>
    </row>
    <row r="408" spans="4:8" ht="15.75" customHeight="1">
      <c r="D408" s="12"/>
      <c r="H408" s="12"/>
    </row>
    <row r="409" spans="4:8" ht="15.75" customHeight="1">
      <c r="D409" s="12"/>
      <c r="H409" s="12"/>
    </row>
    <row r="410" spans="4:8" ht="15.75" customHeight="1">
      <c r="D410" s="12"/>
      <c r="H410" s="12"/>
    </row>
    <row r="411" spans="4:8" ht="15.75" customHeight="1">
      <c r="D411" s="12"/>
      <c r="H411" s="12"/>
    </row>
    <row r="412" spans="4:8" ht="15.75" customHeight="1">
      <c r="D412" s="12"/>
      <c r="H412" s="12"/>
    </row>
    <row r="413" spans="4:8" ht="15.75" customHeight="1">
      <c r="D413" s="12"/>
      <c r="H413" s="12"/>
    </row>
    <row r="414" spans="4:8" ht="15.75" customHeight="1">
      <c r="D414" s="12"/>
      <c r="H414" s="12"/>
    </row>
    <row r="415" spans="4:8" ht="15.75" customHeight="1">
      <c r="D415" s="12"/>
      <c r="H415" s="12"/>
    </row>
    <row r="416" spans="4:8" ht="15.75" customHeight="1">
      <c r="D416" s="12"/>
      <c r="H416" s="12"/>
    </row>
    <row r="417" spans="4:8" ht="15.75" customHeight="1">
      <c r="D417" s="12"/>
      <c r="H417" s="12"/>
    </row>
    <row r="418" spans="4:8" ht="15.75" customHeight="1">
      <c r="D418" s="12"/>
      <c r="H418" s="12"/>
    </row>
    <row r="419" spans="4:8" ht="15.75" customHeight="1">
      <c r="D419" s="12"/>
      <c r="H419" s="12"/>
    </row>
    <row r="420" spans="4:8" ht="15.75" customHeight="1">
      <c r="D420" s="12"/>
      <c r="H420" s="12"/>
    </row>
    <row r="421" spans="4:8" ht="15.75" customHeight="1">
      <c r="D421" s="12"/>
      <c r="H421" s="12"/>
    </row>
    <row r="422" spans="4:8" ht="15.75" customHeight="1">
      <c r="D422" s="12"/>
      <c r="H422" s="12"/>
    </row>
    <row r="423" spans="4:8" ht="15.75" customHeight="1">
      <c r="D423" s="12"/>
      <c r="H423" s="12"/>
    </row>
    <row r="424" spans="4:8" ht="15.75" customHeight="1">
      <c r="D424" s="12"/>
      <c r="H424" s="12"/>
    </row>
    <row r="425" spans="4:8" ht="15.75" customHeight="1">
      <c r="D425" s="12"/>
      <c r="H425" s="12"/>
    </row>
    <row r="426" spans="4:8" ht="15.75" customHeight="1">
      <c r="D426" s="12"/>
      <c r="H426" s="12"/>
    </row>
    <row r="427" spans="4:8" ht="15.75" customHeight="1">
      <c r="D427" s="12"/>
      <c r="H427" s="12"/>
    </row>
    <row r="428" spans="4:8" ht="15.75" customHeight="1">
      <c r="D428" s="12"/>
      <c r="H428" s="12"/>
    </row>
    <row r="429" spans="4:8" ht="15.75" customHeight="1">
      <c r="D429" s="12"/>
      <c r="H429" s="12"/>
    </row>
    <row r="430" spans="4:8" ht="15.75" customHeight="1">
      <c r="D430" s="12"/>
      <c r="H430" s="12"/>
    </row>
    <row r="431" spans="4:8" ht="15.75" customHeight="1">
      <c r="D431" s="12"/>
      <c r="H431" s="12"/>
    </row>
    <row r="432" spans="4:8" ht="15.75" customHeight="1">
      <c r="D432" s="12"/>
      <c r="H432" s="12"/>
    </row>
    <row r="433" spans="4:8" ht="15.75" customHeight="1">
      <c r="D433" s="12"/>
      <c r="H433" s="12"/>
    </row>
    <row r="434" spans="4:8" ht="15.75" customHeight="1">
      <c r="D434" s="12"/>
      <c r="H434" s="12"/>
    </row>
    <row r="435" spans="4:8" ht="15.75" customHeight="1">
      <c r="D435" s="12"/>
      <c r="H435" s="12"/>
    </row>
    <row r="436" spans="4:8" ht="15.75" customHeight="1">
      <c r="D436" s="12"/>
      <c r="H436" s="12"/>
    </row>
    <row r="437" spans="4:8" ht="15.75" customHeight="1">
      <c r="D437" s="12"/>
      <c r="H437" s="12"/>
    </row>
    <row r="438" spans="4:8" ht="15.75" customHeight="1">
      <c r="D438" s="12"/>
      <c r="H438" s="12"/>
    </row>
    <row r="439" spans="4:8" ht="15.75" customHeight="1">
      <c r="D439" s="12"/>
      <c r="H439" s="12"/>
    </row>
    <row r="440" spans="4:8" ht="15.75" customHeight="1">
      <c r="D440" s="12"/>
      <c r="H440" s="12"/>
    </row>
    <row r="441" spans="4:8" ht="15.75" customHeight="1">
      <c r="D441" s="12"/>
      <c r="H441" s="12"/>
    </row>
    <row r="442" spans="4:8" ht="15.75" customHeight="1">
      <c r="D442" s="12"/>
      <c r="H442" s="12"/>
    </row>
    <row r="443" spans="4:8" ht="15.75" customHeight="1">
      <c r="D443" s="12"/>
      <c r="H443" s="12"/>
    </row>
    <row r="444" spans="4:8" ht="15.75" customHeight="1">
      <c r="D444" s="12"/>
      <c r="H444" s="12"/>
    </row>
    <row r="445" spans="4:8" ht="15.75" customHeight="1">
      <c r="D445" s="12"/>
      <c r="H445" s="12"/>
    </row>
    <row r="446" spans="4:8" ht="15.75" customHeight="1">
      <c r="D446" s="12"/>
      <c r="H446" s="12"/>
    </row>
    <row r="447" spans="4:8" ht="15.75" customHeight="1">
      <c r="D447" s="12"/>
      <c r="H447" s="12"/>
    </row>
    <row r="448" spans="4:8" ht="15.75" customHeight="1">
      <c r="D448" s="12"/>
      <c r="H448" s="12"/>
    </row>
    <row r="449" spans="4:8" ht="15.75" customHeight="1">
      <c r="D449" s="12"/>
      <c r="H449" s="12"/>
    </row>
    <row r="450" spans="4:8" ht="15.75" customHeight="1">
      <c r="D450" s="12"/>
      <c r="H450" s="12"/>
    </row>
    <row r="451" spans="4:8" ht="15.75" customHeight="1">
      <c r="D451" s="12"/>
      <c r="H451" s="12"/>
    </row>
    <row r="452" spans="4:8" ht="15.75" customHeight="1">
      <c r="D452" s="12"/>
      <c r="H452" s="12"/>
    </row>
    <row r="453" spans="4:8" ht="15.75" customHeight="1">
      <c r="D453" s="12"/>
      <c r="H453" s="12"/>
    </row>
    <row r="454" spans="4:8" ht="15.75" customHeight="1">
      <c r="D454" s="12"/>
      <c r="H454" s="12"/>
    </row>
    <row r="455" spans="4:8" ht="15.75" customHeight="1">
      <c r="D455" s="12"/>
      <c r="H455" s="12"/>
    </row>
    <row r="456" spans="4:8" ht="15.75" customHeight="1">
      <c r="D456" s="12"/>
      <c r="H456" s="12"/>
    </row>
    <row r="457" spans="4:8" ht="15.75" customHeight="1">
      <c r="D457" s="12"/>
      <c r="H457" s="12"/>
    </row>
    <row r="458" spans="4:8" ht="15.75" customHeight="1">
      <c r="D458" s="12"/>
      <c r="H458" s="12"/>
    </row>
    <row r="459" spans="4:8" ht="15.75" customHeight="1">
      <c r="D459" s="12"/>
      <c r="H459" s="12"/>
    </row>
    <row r="460" spans="4:8" ht="15.75" customHeight="1">
      <c r="D460" s="12"/>
      <c r="H460" s="12"/>
    </row>
    <row r="461" spans="4:8" ht="15.75" customHeight="1">
      <c r="D461" s="12"/>
      <c r="H461" s="12"/>
    </row>
    <row r="462" spans="4:8" ht="15.75" customHeight="1">
      <c r="D462" s="12"/>
      <c r="H462" s="12"/>
    </row>
    <row r="463" spans="4:8" ht="15.75" customHeight="1">
      <c r="D463" s="12"/>
      <c r="H463" s="12"/>
    </row>
    <row r="464" spans="4:8" ht="15.75" customHeight="1">
      <c r="D464" s="12"/>
      <c r="H464" s="12"/>
    </row>
    <row r="465" spans="4:8" ht="15.75" customHeight="1">
      <c r="D465" s="12"/>
      <c r="H465" s="12"/>
    </row>
    <row r="466" spans="4:8" ht="15.75" customHeight="1">
      <c r="D466" s="12"/>
      <c r="H466" s="12"/>
    </row>
    <row r="467" spans="4:8" ht="15.75" customHeight="1">
      <c r="D467" s="12"/>
      <c r="H467" s="12"/>
    </row>
    <row r="468" spans="4:8" ht="15.75" customHeight="1">
      <c r="D468" s="12"/>
      <c r="H468" s="12"/>
    </row>
    <row r="469" spans="4:8" ht="15.75" customHeight="1">
      <c r="D469" s="12"/>
      <c r="H469" s="12"/>
    </row>
    <row r="470" spans="4:8" ht="15.75" customHeight="1">
      <c r="D470" s="12"/>
      <c r="H470" s="12"/>
    </row>
    <row r="471" spans="4:8" ht="15.75" customHeight="1">
      <c r="D471" s="12"/>
      <c r="H471" s="12"/>
    </row>
    <row r="472" spans="4:8" ht="15.75" customHeight="1">
      <c r="D472" s="12"/>
      <c r="H472" s="12"/>
    </row>
    <row r="473" spans="4:8" ht="15.75" customHeight="1">
      <c r="D473" s="12"/>
      <c r="H473" s="12"/>
    </row>
    <row r="474" spans="4:8" ht="15.75" customHeight="1">
      <c r="D474" s="12"/>
      <c r="H474" s="12"/>
    </row>
    <row r="475" spans="4:8" ht="15.75" customHeight="1">
      <c r="D475" s="12"/>
      <c r="H475" s="12"/>
    </row>
    <row r="476" spans="4:8" ht="15.75" customHeight="1">
      <c r="D476" s="12"/>
      <c r="H476" s="12"/>
    </row>
    <row r="477" spans="4:8" ht="15.75" customHeight="1">
      <c r="D477" s="12"/>
      <c r="H477" s="12"/>
    </row>
    <row r="478" spans="4:8" ht="15.75" customHeight="1">
      <c r="D478" s="12"/>
      <c r="H478" s="12"/>
    </row>
    <row r="479" spans="4:8" ht="15.75" customHeight="1">
      <c r="D479" s="12"/>
      <c r="H479" s="12"/>
    </row>
    <row r="480" spans="4:8" ht="15.75" customHeight="1">
      <c r="D480" s="12"/>
      <c r="H480" s="12"/>
    </row>
    <row r="481" spans="4:8" ht="15.75" customHeight="1">
      <c r="D481" s="12"/>
      <c r="H481" s="12"/>
    </row>
    <row r="482" spans="4:8" ht="15.75" customHeight="1">
      <c r="D482" s="12"/>
      <c r="H482" s="12"/>
    </row>
    <row r="483" spans="4:8" ht="15.75" customHeight="1">
      <c r="D483" s="12"/>
      <c r="H483" s="12"/>
    </row>
    <row r="484" spans="4:8" ht="15.75" customHeight="1">
      <c r="D484" s="12"/>
      <c r="H484" s="12"/>
    </row>
    <row r="485" spans="4:8" ht="15.75" customHeight="1">
      <c r="D485" s="12"/>
      <c r="H485" s="12"/>
    </row>
    <row r="486" spans="4:8" ht="15.75" customHeight="1">
      <c r="D486" s="12"/>
      <c r="H486" s="12"/>
    </row>
    <row r="487" spans="4:8" ht="15.75" customHeight="1">
      <c r="D487" s="12"/>
      <c r="H487" s="12"/>
    </row>
    <row r="488" spans="4:8" ht="15.75" customHeight="1">
      <c r="D488" s="12"/>
      <c r="H488" s="12"/>
    </row>
    <row r="489" spans="4:8" ht="15.75" customHeight="1">
      <c r="D489" s="12"/>
      <c r="H489" s="12"/>
    </row>
    <row r="490" spans="4:8" ht="15.75" customHeight="1">
      <c r="D490" s="12"/>
      <c r="H490" s="12"/>
    </row>
    <row r="491" spans="4:8" ht="15.75" customHeight="1">
      <c r="D491" s="12"/>
      <c r="H491" s="12"/>
    </row>
    <row r="492" spans="4:8" ht="15.75" customHeight="1">
      <c r="D492" s="12"/>
      <c r="H492" s="12"/>
    </row>
    <row r="493" spans="4:8" ht="15.75" customHeight="1">
      <c r="D493" s="12"/>
      <c r="H493" s="12"/>
    </row>
    <row r="494" spans="4:8" ht="15.75" customHeight="1">
      <c r="D494" s="12"/>
      <c r="H494" s="12"/>
    </row>
    <row r="495" spans="4:8" ht="15.75" customHeight="1">
      <c r="D495" s="12"/>
      <c r="H495" s="12"/>
    </row>
    <row r="496" spans="4:8" ht="15.75" customHeight="1">
      <c r="D496" s="12"/>
      <c r="H496" s="12"/>
    </row>
    <row r="497" spans="4:8" ht="15.75" customHeight="1">
      <c r="D497" s="12"/>
      <c r="H497" s="12"/>
    </row>
    <row r="498" spans="4:8" ht="15.75" customHeight="1">
      <c r="D498" s="12"/>
      <c r="H498" s="12"/>
    </row>
    <row r="499" spans="4:8" ht="15.75" customHeight="1">
      <c r="D499" s="12"/>
      <c r="H499" s="12"/>
    </row>
    <row r="500" spans="4:8" ht="15.75" customHeight="1">
      <c r="D500" s="12"/>
      <c r="H500" s="12"/>
    </row>
    <row r="501" spans="4:8" ht="15.75" customHeight="1">
      <c r="D501" s="12"/>
      <c r="H501" s="12"/>
    </row>
    <row r="502" spans="4:8" ht="15.75" customHeight="1">
      <c r="D502" s="12"/>
      <c r="H502" s="12"/>
    </row>
    <row r="503" spans="4:8" ht="15.75" customHeight="1">
      <c r="D503" s="12"/>
      <c r="H503" s="12"/>
    </row>
    <row r="504" spans="4:8" ht="15.75" customHeight="1">
      <c r="D504" s="12"/>
      <c r="H504" s="12"/>
    </row>
    <row r="505" spans="4:8" ht="15.75" customHeight="1">
      <c r="D505" s="12"/>
      <c r="H505" s="12"/>
    </row>
    <row r="506" spans="4:8" ht="15.75" customHeight="1">
      <c r="D506" s="12"/>
      <c r="H506" s="12"/>
    </row>
    <row r="507" spans="4:8" ht="15.75" customHeight="1">
      <c r="D507" s="12"/>
      <c r="H507" s="12"/>
    </row>
    <row r="508" spans="4:8" ht="15.75" customHeight="1">
      <c r="D508" s="12"/>
      <c r="H508" s="12"/>
    </row>
    <row r="509" spans="4:8" ht="15.75" customHeight="1">
      <c r="D509" s="12"/>
      <c r="H509" s="12"/>
    </row>
    <row r="510" spans="4:8" ht="15.75" customHeight="1">
      <c r="D510" s="12"/>
      <c r="H510" s="12"/>
    </row>
    <row r="511" spans="4:8" ht="15.75" customHeight="1">
      <c r="D511" s="12"/>
      <c r="H511" s="12"/>
    </row>
    <row r="512" spans="4:8" ht="15.75" customHeight="1">
      <c r="D512" s="12"/>
      <c r="H512" s="12"/>
    </row>
    <row r="513" spans="4:8" ht="15.75" customHeight="1">
      <c r="D513" s="12"/>
      <c r="H513" s="12"/>
    </row>
    <row r="514" spans="4:8" ht="15.75" customHeight="1">
      <c r="D514" s="12"/>
      <c r="H514" s="12"/>
    </row>
    <row r="515" spans="4:8" ht="15.75" customHeight="1">
      <c r="D515" s="12"/>
      <c r="H515" s="12"/>
    </row>
    <row r="516" spans="4:8" ht="15.75" customHeight="1">
      <c r="D516" s="12"/>
      <c r="H516" s="12"/>
    </row>
    <row r="517" spans="4:8" ht="15.75" customHeight="1">
      <c r="D517" s="12"/>
      <c r="H517" s="12"/>
    </row>
    <row r="518" spans="4:8" ht="15.75" customHeight="1">
      <c r="D518" s="12"/>
      <c r="H518" s="12"/>
    </row>
    <row r="519" spans="4:8" ht="15.75" customHeight="1">
      <c r="D519" s="12"/>
      <c r="H519" s="12"/>
    </row>
    <row r="520" spans="4:8" ht="15.75" customHeight="1">
      <c r="D520" s="12"/>
      <c r="H520" s="12"/>
    </row>
    <row r="521" spans="4:8" ht="15.75" customHeight="1">
      <c r="D521" s="12"/>
      <c r="H521" s="12"/>
    </row>
    <row r="522" spans="4:8" ht="15.75" customHeight="1">
      <c r="D522" s="12"/>
      <c r="H522" s="12"/>
    </row>
    <row r="523" spans="4:8" ht="15.75" customHeight="1">
      <c r="D523" s="12"/>
      <c r="H523" s="12"/>
    </row>
    <row r="524" spans="4:8" ht="15.75" customHeight="1">
      <c r="D524" s="12"/>
      <c r="H524" s="12"/>
    </row>
    <row r="525" spans="4:8" ht="15.75" customHeight="1">
      <c r="D525" s="12"/>
      <c r="H525" s="12"/>
    </row>
    <row r="526" spans="4:8" ht="15.75" customHeight="1">
      <c r="D526" s="12"/>
      <c r="H526" s="12"/>
    </row>
    <row r="527" spans="4:8" ht="15.75" customHeight="1">
      <c r="D527" s="12"/>
      <c r="H527" s="12"/>
    </row>
    <row r="528" spans="4:8" ht="15.75" customHeight="1">
      <c r="D528" s="12"/>
      <c r="H528" s="12"/>
    </row>
    <row r="529" spans="4:8" ht="15.75" customHeight="1">
      <c r="D529" s="12"/>
      <c r="H529" s="12"/>
    </row>
    <row r="530" spans="4:8" ht="15.75" customHeight="1">
      <c r="D530" s="12"/>
      <c r="H530" s="12"/>
    </row>
    <row r="531" spans="4:8" ht="15.75" customHeight="1">
      <c r="D531" s="12"/>
      <c r="H531" s="12"/>
    </row>
    <row r="532" spans="4:8" ht="15.75" customHeight="1">
      <c r="D532" s="12"/>
      <c r="H532" s="12"/>
    </row>
    <row r="533" spans="4:8" ht="15.75" customHeight="1">
      <c r="D533" s="12"/>
      <c r="H533" s="12"/>
    </row>
    <row r="534" spans="4:8" ht="15.75" customHeight="1">
      <c r="D534" s="12"/>
      <c r="H534" s="12"/>
    </row>
    <row r="535" spans="4:8" ht="15.75" customHeight="1">
      <c r="D535" s="12"/>
      <c r="H535" s="12"/>
    </row>
    <row r="536" spans="4:8" ht="15.75" customHeight="1">
      <c r="D536" s="12"/>
      <c r="H536" s="12"/>
    </row>
    <row r="537" spans="4:8" ht="15.75" customHeight="1">
      <c r="D537" s="12"/>
      <c r="H537" s="12"/>
    </row>
    <row r="538" spans="4:8" ht="15.75" customHeight="1">
      <c r="D538" s="12"/>
      <c r="H538" s="12"/>
    </row>
    <row r="539" spans="4:8" ht="15.75" customHeight="1">
      <c r="D539" s="12"/>
      <c r="H539" s="12"/>
    </row>
    <row r="540" spans="4:8" ht="15.75" customHeight="1">
      <c r="D540" s="12"/>
      <c r="H540" s="12"/>
    </row>
    <row r="541" spans="4:8" ht="15.75" customHeight="1">
      <c r="D541" s="12"/>
      <c r="H541" s="12"/>
    </row>
    <row r="542" spans="4:8" ht="15.75" customHeight="1">
      <c r="D542" s="12"/>
      <c r="H542" s="12"/>
    </row>
    <row r="543" spans="4:8" ht="15.75" customHeight="1">
      <c r="D543" s="12"/>
      <c r="H543" s="12"/>
    </row>
    <row r="544" spans="4:8" ht="15.75" customHeight="1">
      <c r="D544" s="12"/>
      <c r="H544" s="12"/>
    </row>
    <row r="545" spans="4:8" ht="15.75" customHeight="1">
      <c r="D545" s="12"/>
      <c r="H545" s="12"/>
    </row>
    <row r="546" spans="4:8" ht="15.75" customHeight="1">
      <c r="D546" s="12"/>
      <c r="H546" s="12"/>
    </row>
    <row r="547" spans="4:8" ht="15.75" customHeight="1">
      <c r="D547" s="12"/>
      <c r="H547" s="12"/>
    </row>
    <row r="548" spans="4:8" ht="15.75" customHeight="1">
      <c r="D548" s="12"/>
      <c r="H548" s="12"/>
    </row>
    <row r="549" spans="4:8" ht="15.75" customHeight="1">
      <c r="D549" s="12"/>
      <c r="H549" s="12"/>
    </row>
    <row r="550" spans="4:8" ht="15.75" customHeight="1">
      <c r="D550" s="12"/>
      <c r="H550" s="12"/>
    </row>
    <row r="551" spans="4:8" ht="15.75" customHeight="1">
      <c r="D551" s="12"/>
      <c r="H551" s="12"/>
    </row>
    <row r="552" spans="4:8" ht="15.75" customHeight="1">
      <c r="D552" s="12"/>
      <c r="H552" s="12"/>
    </row>
    <row r="553" spans="4:8" ht="15.75" customHeight="1">
      <c r="D553" s="12"/>
      <c r="H553" s="12"/>
    </row>
    <row r="554" spans="4:8" ht="15.75" customHeight="1">
      <c r="D554" s="12"/>
      <c r="H554" s="12"/>
    </row>
    <row r="555" spans="4:8" ht="15.75" customHeight="1">
      <c r="D555" s="12"/>
      <c r="H555" s="12"/>
    </row>
    <row r="556" spans="4:8" ht="15.75" customHeight="1">
      <c r="D556" s="12"/>
      <c r="H556" s="12"/>
    </row>
    <row r="557" spans="4:8" ht="15.75" customHeight="1">
      <c r="D557" s="12"/>
      <c r="H557" s="12"/>
    </row>
    <row r="558" spans="4:8" ht="15.75" customHeight="1">
      <c r="D558" s="12"/>
      <c r="H558" s="12"/>
    </row>
    <row r="559" spans="4:8" ht="15.75" customHeight="1">
      <c r="D559" s="12"/>
      <c r="H559" s="12"/>
    </row>
    <row r="560" spans="4:8" ht="15.75" customHeight="1">
      <c r="D560" s="12"/>
      <c r="H560" s="12"/>
    </row>
    <row r="561" spans="4:8" ht="15.75" customHeight="1">
      <c r="D561" s="12"/>
      <c r="H561" s="12"/>
    </row>
    <row r="562" spans="4:8" ht="15.75" customHeight="1">
      <c r="D562" s="12"/>
      <c r="H562" s="12"/>
    </row>
    <row r="563" spans="4:8" ht="15.75" customHeight="1">
      <c r="D563" s="12"/>
      <c r="H563" s="12"/>
    </row>
    <row r="564" spans="4:8" ht="15.75" customHeight="1">
      <c r="D564" s="12"/>
      <c r="H564" s="12"/>
    </row>
    <row r="565" spans="4:8" ht="15.75" customHeight="1">
      <c r="D565" s="12"/>
      <c r="H565" s="12"/>
    </row>
    <row r="566" spans="4:8" ht="15.75" customHeight="1">
      <c r="D566" s="12"/>
      <c r="H566" s="12"/>
    </row>
    <row r="567" spans="4:8" ht="15.75" customHeight="1">
      <c r="D567" s="12"/>
      <c r="H567" s="12"/>
    </row>
    <row r="568" spans="4:8" ht="15.75" customHeight="1">
      <c r="D568" s="12"/>
      <c r="H568" s="12"/>
    </row>
    <row r="569" spans="4:8" ht="15.75" customHeight="1">
      <c r="D569" s="12"/>
      <c r="H569" s="12"/>
    </row>
    <row r="570" spans="4:8" ht="15.75" customHeight="1">
      <c r="D570" s="12"/>
      <c r="H570" s="12"/>
    </row>
    <row r="571" spans="4:8" ht="15.75" customHeight="1">
      <c r="D571" s="12"/>
      <c r="H571" s="12"/>
    </row>
    <row r="572" spans="4:8" ht="15.75" customHeight="1">
      <c r="D572" s="12"/>
      <c r="H572" s="12"/>
    </row>
    <row r="573" spans="4:8" ht="15.75" customHeight="1">
      <c r="D573" s="12"/>
      <c r="H573" s="12"/>
    </row>
    <row r="574" spans="4:8" ht="15.75" customHeight="1">
      <c r="D574" s="12"/>
      <c r="H574" s="12"/>
    </row>
    <row r="575" spans="4:8" ht="15.75" customHeight="1">
      <c r="D575" s="12"/>
      <c r="H575" s="12"/>
    </row>
    <row r="576" spans="4:8" ht="15.75" customHeight="1">
      <c r="D576" s="12"/>
      <c r="H576" s="12"/>
    </row>
    <row r="577" spans="4:8" ht="15.75" customHeight="1">
      <c r="D577" s="12"/>
      <c r="H577" s="12"/>
    </row>
    <row r="578" spans="4:8" ht="15.75" customHeight="1">
      <c r="D578" s="12"/>
      <c r="H578" s="12"/>
    </row>
    <row r="579" spans="4:8" ht="15.75" customHeight="1">
      <c r="D579" s="12"/>
      <c r="H579" s="12"/>
    </row>
    <row r="580" spans="4:8" ht="15.75" customHeight="1">
      <c r="D580" s="12"/>
      <c r="H580" s="12"/>
    </row>
    <row r="581" spans="4:8" ht="15.75" customHeight="1">
      <c r="D581" s="12"/>
      <c r="H581" s="12"/>
    </row>
    <row r="582" spans="4:8" ht="15.75" customHeight="1">
      <c r="D582" s="12"/>
      <c r="H582" s="12"/>
    </row>
    <row r="583" spans="4:8" ht="15.75" customHeight="1">
      <c r="D583" s="12"/>
      <c r="H583" s="12"/>
    </row>
    <row r="584" spans="4:8" ht="15.75" customHeight="1">
      <c r="D584" s="12"/>
      <c r="H584" s="12"/>
    </row>
    <row r="585" spans="4:8" ht="15.75" customHeight="1">
      <c r="D585" s="12"/>
      <c r="H585" s="12"/>
    </row>
    <row r="586" spans="4:8" ht="15.75" customHeight="1">
      <c r="D586" s="12"/>
      <c r="H586" s="12"/>
    </row>
    <row r="587" spans="4:8" ht="15.75" customHeight="1">
      <c r="D587" s="12"/>
      <c r="H587" s="12"/>
    </row>
    <row r="588" spans="4:8" ht="15.75" customHeight="1">
      <c r="D588" s="12"/>
      <c r="H588" s="12"/>
    </row>
    <row r="589" spans="4:8" ht="15.75" customHeight="1">
      <c r="D589" s="12"/>
      <c r="H589" s="12"/>
    </row>
    <row r="590" spans="4:8" ht="15.75" customHeight="1">
      <c r="D590" s="12"/>
      <c r="H590" s="12"/>
    </row>
    <row r="591" spans="4:8" ht="15.75" customHeight="1">
      <c r="D591" s="12"/>
      <c r="H591" s="12"/>
    </row>
    <row r="592" spans="4:8" ht="15.75" customHeight="1">
      <c r="D592" s="12"/>
      <c r="H592" s="12"/>
    </row>
    <row r="593" spans="4:8" ht="15.75" customHeight="1">
      <c r="D593" s="12"/>
      <c r="H593" s="12"/>
    </row>
    <row r="594" spans="4:8" ht="15.75" customHeight="1">
      <c r="D594" s="12"/>
      <c r="H594" s="12"/>
    </row>
    <row r="595" spans="4:8" ht="15.75" customHeight="1">
      <c r="D595" s="12"/>
      <c r="H595" s="12"/>
    </row>
    <row r="596" spans="4:8" ht="15.75" customHeight="1">
      <c r="D596" s="12"/>
      <c r="H596" s="12"/>
    </row>
    <row r="597" spans="4:8" ht="15.75" customHeight="1">
      <c r="D597" s="12"/>
      <c r="H597" s="12"/>
    </row>
    <row r="598" spans="4:8" ht="15.75" customHeight="1">
      <c r="D598" s="12"/>
      <c r="H598" s="12"/>
    </row>
    <row r="599" spans="4:8" ht="15.75" customHeight="1">
      <c r="D599" s="12"/>
      <c r="H599" s="12"/>
    </row>
    <row r="600" spans="4:8" ht="15.75" customHeight="1">
      <c r="D600" s="12"/>
      <c r="H600" s="12"/>
    </row>
    <row r="601" spans="4:8" ht="15.75" customHeight="1">
      <c r="D601" s="12"/>
      <c r="H601" s="12"/>
    </row>
    <row r="602" spans="4:8" ht="15.75" customHeight="1">
      <c r="D602" s="12"/>
      <c r="H602" s="12"/>
    </row>
    <row r="603" spans="4:8" ht="15.75" customHeight="1">
      <c r="D603" s="12"/>
      <c r="H603" s="12"/>
    </row>
    <row r="604" spans="4:8" ht="15.75" customHeight="1">
      <c r="D604" s="12"/>
      <c r="H604" s="12"/>
    </row>
    <row r="605" spans="4:8" ht="15.75" customHeight="1">
      <c r="D605" s="12"/>
      <c r="H605" s="12"/>
    </row>
    <row r="606" spans="4:8" ht="15.75" customHeight="1">
      <c r="D606" s="12"/>
      <c r="H606" s="12"/>
    </row>
    <row r="607" spans="4:8" ht="15.75" customHeight="1">
      <c r="D607" s="12"/>
      <c r="H607" s="12"/>
    </row>
    <row r="608" spans="4:8" ht="15.75" customHeight="1">
      <c r="D608" s="12"/>
      <c r="H608" s="12"/>
    </row>
    <row r="609" spans="4:8" ht="15.75" customHeight="1">
      <c r="D609" s="12"/>
      <c r="H609" s="12"/>
    </row>
    <row r="610" spans="4:8" ht="15.75" customHeight="1">
      <c r="D610" s="12"/>
      <c r="H610" s="12"/>
    </row>
    <row r="611" spans="4:8" ht="15.75" customHeight="1">
      <c r="D611" s="12"/>
      <c r="H611" s="12"/>
    </row>
    <row r="612" spans="4:8" ht="15.75" customHeight="1">
      <c r="D612" s="12"/>
      <c r="H612" s="12"/>
    </row>
    <row r="613" spans="4:8" ht="15.75" customHeight="1">
      <c r="D613" s="12"/>
      <c r="H613" s="12"/>
    </row>
    <row r="614" spans="4:8" ht="15.75" customHeight="1">
      <c r="D614" s="12"/>
      <c r="H614" s="12"/>
    </row>
    <row r="615" spans="4:8" ht="15.75" customHeight="1">
      <c r="D615" s="12"/>
      <c r="H615" s="12"/>
    </row>
    <row r="616" spans="4:8" ht="15.75" customHeight="1">
      <c r="D616" s="12"/>
      <c r="H616" s="12"/>
    </row>
    <row r="617" spans="4:8" ht="15.75" customHeight="1">
      <c r="D617" s="12"/>
      <c r="H617" s="12"/>
    </row>
    <row r="618" spans="4:8" ht="15.75" customHeight="1">
      <c r="D618" s="12"/>
      <c r="H618" s="12"/>
    </row>
    <row r="619" spans="4:8" ht="15.75" customHeight="1">
      <c r="D619" s="12"/>
      <c r="H619" s="12"/>
    </row>
    <row r="620" spans="4:8" ht="15.75" customHeight="1">
      <c r="D620" s="12"/>
      <c r="H620" s="12"/>
    </row>
    <row r="621" spans="4:8" ht="15.75" customHeight="1">
      <c r="D621" s="12"/>
      <c r="H621" s="12"/>
    </row>
    <row r="622" spans="4:8" ht="15.75" customHeight="1">
      <c r="D622" s="12"/>
      <c r="H622" s="12"/>
    </row>
    <row r="623" spans="4:8" ht="15.75" customHeight="1">
      <c r="D623" s="12"/>
      <c r="H623" s="12"/>
    </row>
    <row r="624" spans="4:8" ht="15.75" customHeight="1">
      <c r="D624" s="12"/>
      <c r="H624" s="12"/>
    </row>
    <row r="625" spans="4:8" ht="15.75" customHeight="1">
      <c r="D625" s="12"/>
      <c r="H625" s="12"/>
    </row>
    <row r="626" spans="4:8" ht="15.75" customHeight="1">
      <c r="D626" s="12"/>
      <c r="H626" s="12"/>
    </row>
    <row r="627" spans="4:8" ht="15.75" customHeight="1">
      <c r="D627" s="12"/>
      <c r="H627" s="12"/>
    </row>
    <row r="628" spans="4:8" ht="15.75" customHeight="1">
      <c r="D628" s="12"/>
      <c r="H628" s="12"/>
    </row>
    <row r="629" spans="4:8" ht="15.75" customHeight="1">
      <c r="D629" s="12"/>
      <c r="H629" s="12"/>
    </row>
    <row r="630" spans="4:8" ht="15.75" customHeight="1">
      <c r="D630" s="12"/>
      <c r="H630" s="12"/>
    </row>
    <row r="631" spans="4:8" ht="15.75" customHeight="1">
      <c r="D631" s="12"/>
      <c r="H631" s="12"/>
    </row>
    <row r="632" spans="4:8" ht="15.75" customHeight="1">
      <c r="D632" s="12"/>
      <c r="H632" s="12"/>
    </row>
    <row r="633" spans="4:8" ht="15.75" customHeight="1">
      <c r="D633" s="12"/>
      <c r="H633" s="12"/>
    </row>
    <row r="634" spans="4:8" ht="15.75" customHeight="1">
      <c r="D634" s="12"/>
      <c r="H634" s="12"/>
    </row>
    <row r="635" spans="4:8" ht="15.75" customHeight="1">
      <c r="D635" s="12"/>
      <c r="H635" s="12"/>
    </row>
    <row r="636" spans="4:8" ht="15.75" customHeight="1">
      <c r="D636" s="12"/>
      <c r="H636" s="12"/>
    </row>
    <row r="637" spans="4:8" ht="15.75" customHeight="1">
      <c r="D637" s="12"/>
      <c r="H637" s="12"/>
    </row>
    <row r="638" spans="4:8" ht="15.75" customHeight="1">
      <c r="D638" s="12"/>
      <c r="H638" s="12"/>
    </row>
    <row r="639" spans="4:8" ht="15.75" customHeight="1">
      <c r="D639" s="12"/>
      <c r="H639" s="12"/>
    </row>
    <row r="640" spans="4:8" ht="15.75" customHeight="1">
      <c r="D640" s="12"/>
      <c r="H640" s="12"/>
    </row>
    <row r="641" spans="4:8" ht="15.75" customHeight="1">
      <c r="D641" s="12"/>
      <c r="H641" s="12"/>
    </row>
    <row r="642" spans="4:8" ht="15.75" customHeight="1">
      <c r="D642" s="12"/>
      <c r="H642" s="12"/>
    </row>
    <row r="643" spans="4:8" ht="15.75" customHeight="1">
      <c r="D643" s="12"/>
      <c r="H643" s="12"/>
    </row>
    <row r="644" spans="4:8" ht="15.75" customHeight="1">
      <c r="D644" s="12"/>
      <c r="H644" s="12"/>
    </row>
    <row r="645" spans="4:8" ht="15.75" customHeight="1">
      <c r="D645" s="12"/>
      <c r="H645" s="12"/>
    </row>
    <row r="646" spans="4:8" ht="15.75" customHeight="1">
      <c r="D646" s="12"/>
      <c r="H646" s="12"/>
    </row>
    <row r="647" spans="4:8" ht="15.75" customHeight="1">
      <c r="D647" s="12"/>
      <c r="H647" s="12"/>
    </row>
    <row r="648" spans="4:8" ht="15.75" customHeight="1">
      <c r="D648" s="12"/>
      <c r="H648" s="12"/>
    </row>
    <row r="649" spans="4:8" ht="15.75" customHeight="1">
      <c r="D649" s="12"/>
      <c r="H649" s="12"/>
    </row>
    <row r="650" spans="4:8" ht="15.75" customHeight="1">
      <c r="D650" s="12"/>
      <c r="H650" s="12"/>
    </row>
    <row r="651" spans="4:8" ht="15.75" customHeight="1">
      <c r="D651" s="12"/>
      <c r="H651" s="12"/>
    </row>
    <row r="652" spans="4:8" ht="15.75" customHeight="1">
      <c r="D652" s="12"/>
      <c r="H652" s="12"/>
    </row>
    <row r="653" spans="4:8" ht="15.75" customHeight="1">
      <c r="D653" s="12"/>
      <c r="H653" s="12"/>
    </row>
    <row r="654" spans="4:8" ht="15.75" customHeight="1">
      <c r="D654" s="12"/>
      <c r="H654" s="12"/>
    </row>
    <row r="655" spans="4:8" ht="15.75" customHeight="1">
      <c r="D655" s="12"/>
      <c r="H655" s="12"/>
    </row>
    <row r="656" spans="4:8" ht="15.75" customHeight="1">
      <c r="D656" s="12"/>
      <c r="H656" s="12"/>
    </row>
    <row r="657" spans="4:8" ht="15.75" customHeight="1">
      <c r="D657" s="12"/>
      <c r="H657" s="12"/>
    </row>
    <row r="658" spans="4:8" ht="15.75" customHeight="1">
      <c r="D658" s="12"/>
      <c r="H658" s="12"/>
    </row>
    <row r="659" spans="4:8" ht="15.75" customHeight="1">
      <c r="D659" s="12"/>
      <c r="H659" s="12"/>
    </row>
    <row r="660" spans="4:8" ht="15.75" customHeight="1">
      <c r="D660" s="12"/>
      <c r="H660" s="12"/>
    </row>
    <row r="661" spans="4:8" ht="15.75" customHeight="1">
      <c r="D661" s="12"/>
      <c r="H661" s="12"/>
    </row>
    <row r="662" spans="4:8" ht="15.75" customHeight="1">
      <c r="D662" s="12"/>
      <c r="H662" s="12"/>
    </row>
    <row r="663" spans="4:8" ht="15.75" customHeight="1">
      <c r="D663" s="12"/>
      <c r="H663" s="12"/>
    </row>
    <row r="664" spans="4:8" ht="15.75" customHeight="1">
      <c r="D664" s="12"/>
      <c r="H664" s="12"/>
    </row>
    <row r="665" spans="4:8" ht="15.75" customHeight="1">
      <c r="D665" s="12"/>
      <c r="H665" s="12"/>
    </row>
    <row r="666" spans="4:8" ht="15.75" customHeight="1">
      <c r="D666" s="12"/>
      <c r="H666" s="12"/>
    </row>
    <row r="667" spans="4:8" ht="15.75" customHeight="1">
      <c r="D667" s="12"/>
      <c r="H667" s="12"/>
    </row>
    <row r="668" spans="4:8" ht="15.75" customHeight="1">
      <c r="D668" s="12"/>
      <c r="H668" s="12"/>
    </row>
    <row r="669" spans="4:8" ht="15.75" customHeight="1">
      <c r="D669" s="12"/>
      <c r="H669" s="12"/>
    </row>
    <row r="670" spans="4:8" ht="15.75" customHeight="1">
      <c r="D670" s="12"/>
      <c r="H670" s="12"/>
    </row>
    <row r="671" spans="4:8" ht="15.75" customHeight="1">
      <c r="D671" s="12"/>
      <c r="H671" s="12"/>
    </row>
    <row r="672" spans="4:8" ht="15.75" customHeight="1">
      <c r="D672" s="12"/>
      <c r="H672" s="12"/>
    </row>
    <row r="673" spans="4:8" ht="15.75" customHeight="1">
      <c r="D673" s="12"/>
      <c r="H673" s="12"/>
    </row>
    <row r="674" spans="4:8" ht="15.75" customHeight="1">
      <c r="D674" s="12"/>
      <c r="H674" s="12"/>
    </row>
    <row r="675" spans="4:8" ht="15.75" customHeight="1">
      <c r="D675" s="12"/>
      <c r="H675" s="12"/>
    </row>
    <row r="676" spans="4:8" ht="15.75" customHeight="1">
      <c r="D676" s="12"/>
      <c r="H676" s="12"/>
    </row>
    <row r="677" spans="4:8" ht="15.75" customHeight="1">
      <c r="D677" s="12"/>
      <c r="H677" s="12"/>
    </row>
    <row r="678" spans="4:8" ht="15.75" customHeight="1">
      <c r="D678" s="12"/>
      <c r="H678" s="12"/>
    </row>
    <row r="679" spans="4:8" ht="15.75" customHeight="1">
      <c r="D679" s="12"/>
      <c r="H679" s="12"/>
    </row>
    <row r="680" spans="4:8" ht="15.75" customHeight="1">
      <c r="D680" s="12"/>
      <c r="H680" s="12"/>
    </row>
    <row r="681" spans="4:8" ht="15.75" customHeight="1">
      <c r="D681" s="12"/>
      <c r="H681" s="12"/>
    </row>
    <row r="682" spans="4:8" ht="15.75" customHeight="1">
      <c r="D682" s="12"/>
      <c r="H682" s="12"/>
    </row>
    <row r="683" spans="4:8" ht="15.75" customHeight="1">
      <c r="D683" s="12"/>
      <c r="H683" s="12"/>
    </row>
    <row r="684" spans="4:8" ht="15.75" customHeight="1">
      <c r="D684" s="12"/>
      <c r="H684" s="12"/>
    </row>
    <row r="685" spans="4:8" ht="15.75" customHeight="1">
      <c r="D685" s="12"/>
      <c r="H685" s="12"/>
    </row>
    <row r="686" spans="4:8" ht="15.75" customHeight="1">
      <c r="D686" s="12"/>
      <c r="H686" s="12"/>
    </row>
    <row r="687" spans="4:8" ht="15.75" customHeight="1">
      <c r="D687" s="12"/>
      <c r="H687" s="12"/>
    </row>
    <row r="688" spans="4:8" ht="15.75" customHeight="1">
      <c r="D688" s="12"/>
      <c r="H688" s="12"/>
    </row>
    <row r="689" spans="4:8" ht="15.75" customHeight="1">
      <c r="D689" s="12"/>
      <c r="H689" s="12"/>
    </row>
    <row r="690" spans="4:8" ht="15.75" customHeight="1">
      <c r="D690" s="12"/>
      <c r="H690" s="12"/>
    </row>
    <row r="691" spans="4:8" ht="15.75" customHeight="1">
      <c r="D691" s="12"/>
      <c r="H691" s="12"/>
    </row>
    <row r="692" spans="4:8" ht="15.75" customHeight="1">
      <c r="D692" s="12"/>
      <c r="H692" s="12"/>
    </row>
    <row r="693" spans="4:8" ht="15.75" customHeight="1">
      <c r="D693" s="12"/>
      <c r="H693" s="12"/>
    </row>
    <row r="694" spans="4:8" ht="15.75" customHeight="1">
      <c r="D694" s="12"/>
      <c r="H694" s="12"/>
    </row>
    <row r="695" spans="4:8" ht="15.75" customHeight="1">
      <c r="D695" s="12"/>
      <c r="H695" s="12"/>
    </row>
    <row r="696" spans="4:8" ht="15.75" customHeight="1">
      <c r="D696" s="12"/>
      <c r="H696" s="12"/>
    </row>
    <row r="697" spans="4:8" ht="15.75" customHeight="1">
      <c r="D697" s="12"/>
      <c r="H697" s="12"/>
    </row>
    <row r="698" spans="4:8" ht="15.75" customHeight="1">
      <c r="D698" s="12"/>
      <c r="H698" s="12"/>
    </row>
    <row r="699" spans="4:8" ht="15.75" customHeight="1">
      <c r="D699" s="12"/>
      <c r="H699" s="12"/>
    </row>
    <row r="700" spans="4:8" ht="15.75" customHeight="1">
      <c r="D700" s="12"/>
      <c r="H700" s="12"/>
    </row>
    <row r="701" spans="4:8" ht="15.75" customHeight="1">
      <c r="D701" s="12"/>
      <c r="H701" s="12"/>
    </row>
    <row r="702" spans="4:8" ht="15.75" customHeight="1">
      <c r="D702" s="12"/>
      <c r="H702" s="12"/>
    </row>
    <row r="703" spans="4:8" ht="15.75" customHeight="1">
      <c r="D703" s="12"/>
      <c r="H703" s="12"/>
    </row>
    <row r="704" spans="4:8" ht="15.75" customHeight="1">
      <c r="D704" s="12"/>
      <c r="H704" s="12"/>
    </row>
    <row r="705" spans="4:8" ht="15.75" customHeight="1">
      <c r="D705" s="12"/>
      <c r="H705" s="12"/>
    </row>
    <row r="706" spans="4:8" ht="15.75" customHeight="1">
      <c r="D706" s="12"/>
      <c r="H706" s="12"/>
    </row>
    <row r="707" spans="4:8" ht="15.75" customHeight="1">
      <c r="D707" s="12"/>
      <c r="H707" s="12"/>
    </row>
    <row r="708" spans="4:8" ht="15.75" customHeight="1">
      <c r="D708" s="12"/>
      <c r="H708" s="12"/>
    </row>
    <row r="709" spans="4:8" ht="15.75" customHeight="1">
      <c r="D709" s="12"/>
      <c r="H709" s="12"/>
    </row>
    <row r="710" spans="4:8" ht="15.75" customHeight="1">
      <c r="D710" s="12"/>
      <c r="H710" s="12"/>
    </row>
    <row r="711" spans="4:8" ht="15.75" customHeight="1">
      <c r="D711" s="12"/>
      <c r="H711" s="12"/>
    </row>
    <row r="712" spans="4:8" ht="15.75" customHeight="1">
      <c r="D712" s="12"/>
      <c r="H712" s="12"/>
    </row>
    <row r="713" spans="4:8" ht="15.75" customHeight="1">
      <c r="D713" s="12"/>
      <c r="H713" s="12"/>
    </row>
    <row r="714" spans="4:8" ht="15.75" customHeight="1">
      <c r="D714" s="12"/>
      <c r="H714" s="12"/>
    </row>
    <row r="715" spans="4:8" ht="15.75" customHeight="1">
      <c r="D715" s="12"/>
      <c r="H715" s="12"/>
    </row>
    <row r="716" spans="4:8" ht="15.75" customHeight="1">
      <c r="D716" s="12"/>
      <c r="H716" s="12"/>
    </row>
    <row r="717" spans="4:8" ht="15.75" customHeight="1">
      <c r="D717" s="12"/>
      <c r="H717" s="12"/>
    </row>
    <row r="718" spans="4:8" ht="15.75" customHeight="1">
      <c r="D718" s="12"/>
      <c r="H718" s="12"/>
    </row>
    <row r="719" spans="4:8" ht="15.75" customHeight="1">
      <c r="D719" s="12"/>
      <c r="H719" s="12"/>
    </row>
    <row r="720" spans="4:8" ht="15.75" customHeight="1">
      <c r="D720" s="12"/>
      <c r="H720" s="12"/>
    </row>
    <row r="721" spans="4:8" ht="15.75" customHeight="1">
      <c r="D721" s="12"/>
      <c r="H721" s="12"/>
    </row>
    <row r="722" spans="4:8" ht="15.75" customHeight="1">
      <c r="D722" s="12"/>
      <c r="H722" s="12"/>
    </row>
    <row r="723" spans="4:8" ht="15.75" customHeight="1">
      <c r="D723" s="12"/>
      <c r="H723" s="12"/>
    </row>
    <row r="724" spans="4:8" ht="15.75" customHeight="1">
      <c r="D724" s="12"/>
      <c r="H724" s="12"/>
    </row>
    <row r="725" spans="4:8" ht="15.75" customHeight="1">
      <c r="D725" s="12"/>
      <c r="H725" s="12"/>
    </row>
    <row r="726" spans="4:8" ht="15.75" customHeight="1">
      <c r="D726" s="12"/>
      <c r="H726" s="12"/>
    </row>
    <row r="727" spans="4:8" ht="15.75" customHeight="1">
      <c r="D727" s="12"/>
      <c r="H727" s="12"/>
    </row>
    <row r="728" spans="4:8" ht="15.75" customHeight="1">
      <c r="D728" s="12"/>
      <c r="H728" s="12"/>
    </row>
    <row r="729" spans="4:8" ht="15.75" customHeight="1">
      <c r="D729" s="12"/>
      <c r="H729" s="12"/>
    </row>
    <row r="730" spans="4:8" ht="15.75" customHeight="1">
      <c r="D730" s="12"/>
      <c r="H730" s="12"/>
    </row>
    <row r="731" spans="4:8" ht="15.75" customHeight="1">
      <c r="D731" s="12"/>
      <c r="H731" s="12"/>
    </row>
    <row r="732" spans="4:8" ht="15.75" customHeight="1">
      <c r="D732" s="12"/>
      <c r="H732" s="12"/>
    </row>
    <row r="733" spans="4:8" ht="15.75" customHeight="1">
      <c r="D733" s="12"/>
      <c r="H733" s="12"/>
    </row>
    <row r="734" spans="4:8" ht="15.75" customHeight="1">
      <c r="D734" s="12"/>
      <c r="H734" s="12"/>
    </row>
    <row r="735" spans="4:8" ht="15.75" customHeight="1">
      <c r="D735" s="12"/>
      <c r="H735" s="12"/>
    </row>
    <row r="736" spans="4:8" ht="15.75" customHeight="1">
      <c r="D736" s="12"/>
      <c r="H736" s="12"/>
    </row>
    <row r="737" spans="4:8" ht="15.75" customHeight="1">
      <c r="D737" s="12"/>
      <c r="H737" s="12"/>
    </row>
    <row r="738" spans="4:8" ht="15.75" customHeight="1">
      <c r="D738" s="12"/>
      <c r="H738" s="12"/>
    </row>
    <row r="739" spans="4:8" ht="15.75" customHeight="1">
      <c r="D739" s="12"/>
      <c r="H739" s="12"/>
    </row>
    <row r="740" spans="4:8" ht="15.75" customHeight="1">
      <c r="D740" s="12"/>
      <c r="H740" s="12"/>
    </row>
    <row r="741" spans="4:8" ht="15.75" customHeight="1">
      <c r="D741" s="12"/>
      <c r="H741" s="12"/>
    </row>
    <row r="742" spans="4:8" ht="15.75" customHeight="1">
      <c r="D742" s="12"/>
      <c r="H742" s="12"/>
    </row>
    <row r="743" spans="4:8" ht="15.75" customHeight="1">
      <c r="D743" s="12"/>
      <c r="H743" s="12"/>
    </row>
    <row r="744" spans="4:8" ht="15.75" customHeight="1">
      <c r="D744" s="12"/>
      <c r="H744" s="12"/>
    </row>
    <row r="745" spans="4:8" ht="15.75" customHeight="1">
      <c r="D745" s="12"/>
      <c r="H745" s="12"/>
    </row>
    <row r="746" spans="4:8" ht="15.75" customHeight="1">
      <c r="D746" s="12"/>
      <c r="H746" s="12"/>
    </row>
    <row r="747" spans="4:8" ht="15.75" customHeight="1">
      <c r="D747" s="12"/>
      <c r="H747" s="12"/>
    </row>
    <row r="748" spans="4:8" ht="15.75" customHeight="1">
      <c r="D748" s="12"/>
      <c r="H748" s="12"/>
    </row>
    <row r="749" spans="4:8" ht="15.75" customHeight="1">
      <c r="D749" s="12"/>
      <c r="H749" s="12"/>
    </row>
    <row r="750" spans="4:8" ht="15.75" customHeight="1">
      <c r="D750" s="12"/>
      <c r="H750" s="12"/>
    </row>
    <row r="751" spans="4:8" ht="15.75" customHeight="1">
      <c r="D751" s="12"/>
      <c r="H751" s="12"/>
    </row>
    <row r="752" spans="4:8" ht="15.75" customHeight="1">
      <c r="D752" s="12"/>
      <c r="H752" s="12"/>
    </row>
    <row r="753" spans="4:8" ht="15.75" customHeight="1">
      <c r="D753" s="12"/>
      <c r="H753" s="12"/>
    </row>
    <row r="754" spans="4:8" ht="15.75" customHeight="1">
      <c r="D754" s="12"/>
      <c r="H754" s="12"/>
    </row>
    <row r="755" spans="4:8" ht="15.75" customHeight="1">
      <c r="D755" s="12"/>
      <c r="H755" s="12"/>
    </row>
    <row r="756" spans="4:8" ht="15.75" customHeight="1">
      <c r="D756" s="12"/>
      <c r="H756" s="12"/>
    </row>
    <row r="757" spans="4:8" ht="15.75" customHeight="1">
      <c r="D757" s="12"/>
      <c r="H757" s="12"/>
    </row>
    <row r="758" spans="4:8" ht="15.75" customHeight="1">
      <c r="D758" s="12"/>
      <c r="H758" s="12"/>
    </row>
    <row r="759" spans="4:8" ht="15.75" customHeight="1">
      <c r="D759" s="12"/>
      <c r="H759" s="12"/>
    </row>
    <row r="760" spans="4:8" ht="15.75" customHeight="1">
      <c r="D760" s="12"/>
      <c r="H760" s="12"/>
    </row>
    <row r="761" spans="4:8" ht="15.75" customHeight="1">
      <c r="D761" s="12"/>
      <c r="H761" s="12"/>
    </row>
    <row r="762" spans="4:8" ht="15.75" customHeight="1">
      <c r="D762" s="12"/>
      <c r="H762" s="12"/>
    </row>
    <row r="763" spans="4:8" ht="15.75" customHeight="1">
      <c r="D763" s="12"/>
      <c r="H763" s="12"/>
    </row>
    <row r="764" spans="4:8" ht="15.75" customHeight="1">
      <c r="D764" s="12"/>
      <c r="H764" s="12"/>
    </row>
    <row r="765" spans="4:8" ht="15.75" customHeight="1">
      <c r="D765" s="12"/>
      <c r="H765" s="12"/>
    </row>
    <row r="766" spans="4:8" ht="15.75" customHeight="1">
      <c r="D766" s="12"/>
      <c r="H766" s="12"/>
    </row>
    <row r="767" spans="4:8" ht="15.75" customHeight="1">
      <c r="D767" s="12"/>
      <c r="H767" s="12"/>
    </row>
    <row r="768" spans="4:8" ht="15.75" customHeight="1">
      <c r="D768" s="12"/>
      <c r="H768" s="12"/>
    </row>
    <row r="769" spans="4:8" ht="15.75" customHeight="1">
      <c r="D769" s="12"/>
      <c r="H769" s="12"/>
    </row>
    <row r="770" spans="4:8" ht="15.75" customHeight="1">
      <c r="D770" s="12"/>
      <c r="H770" s="12"/>
    </row>
    <row r="771" spans="4:8" ht="15.75" customHeight="1">
      <c r="D771" s="12"/>
      <c r="H771" s="12"/>
    </row>
    <row r="772" spans="4:8" ht="15.75" customHeight="1">
      <c r="D772" s="12"/>
      <c r="H772" s="12"/>
    </row>
    <row r="773" spans="4:8" ht="15.75" customHeight="1">
      <c r="D773" s="12"/>
      <c r="H773" s="12"/>
    </row>
    <row r="774" spans="4:8" ht="15.75" customHeight="1">
      <c r="D774" s="12"/>
      <c r="H774" s="12"/>
    </row>
    <row r="775" spans="4:8" ht="15.75" customHeight="1">
      <c r="D775" s="12"/>
      <c r="H775" s="12"/>
    </row>
    <row r="776" spans="4:8" ht="15.75" customHeight="1">
      <c r="D776" s="12"/>
      <c r="H776" s="12"/>
    </row>
    <row r="777" spans="4:8" ht="15.75" customHeight="1">
      <c r="D777" s="12"/>
      <c r="H777" s="12"/>
    </row>
    <row r="778" spans="4:8" ht="15.75" customHeight="1">
      <c r="D778" s="12"/>
      <c r="H778" s="12"/>
    </row>
    <row r="779" spans="4:8" ht="15.75" customHeight="1">
      <c r="D779" s="12"/>
      <c r="H779" s="12"/>
    </row>
    <row r="780" spans="4:8" ht="15.75" customHeight="1">
      <c r="D780" s="12"/>
      <c r="H780" s="12"/>
    </row>
    <row r="781" spans="4:8" ht="15.75" customHeight="1">
      <c r="D781" s="12"/>
      <c r="H781" s="12"/>
    </row>
    <row r="782" spans="4:8" ht="15.75" customHeight="1">
      <c r="D782" s="12"/>
      <c r="H782" s="12"/>
    </row>
    <row r="783" spans="4:8" ht="15.75" customHeight="1">
      <c r="D783" s="12"/>
      <c r="H783" s="12"/>
    </row>
    <row r="784" spans="4:8" ht="15.75" customHeight="1">
      <c r="D784" s="12"/>
      <c r="H784" s="12"/>
    </row>
    <row r="785" spans="4:8" ht="15.75" customHeight="1">
      <c r="D785" s="12"/>
      <c r="H785" s="12"/>
    </row>
    <row r="786" spans="4:8" ht="15.75" customHeight="1">
      <c r="D786" s="12"/>
      <c r="H786" s="12"/>
    </row>
    <row r="787" spans="4:8" ht="15.75" customHeight="1">
      <c r="D787" s="12"/>
      <c r="H787" s="12"/>
    </row>
    <row r="788" spans="4:8" ht="15.75" customHeight="1">
      <c r="D788" s="12"/>
      <c r="H788" s="12"/>
    </row>
    <row r="789" spans="4:8" ht="15.75" customHeight="1">
      <c r="D789" s="12"/>
      <c r="H789" s="12"/>
    </row>
    <row r="790" spans="4:8" ht="15.75" customHeight="1">
      <c r="D790" s="12"/>
      <c r="H790" s="12"/>
    </row>
    <row r="791" spans="4:8" ht="15.75" customHeight="1">
      <c r="D791" s="12"/>
      <c r="H791" s="12"/>
    </row>
    <row r="792" spans="4:8" ht="15.75" customHeight="1">
      <c r="D792" s="12"/>
      <c r="H792" s="12"/>
    </row>
    <row r="793" spans="4:8" ht="15.75" customHeight="1">
      <c r="D793" s="12"/>
      <c r="H793" s="12"/>
    </row>
    <row r="794" spans="4:8" ht="15.75" customHeight="1">
      <c r="D794" s="12"/>
      <c r="H794" s="12"/>
    </row>
    <row r="795" spans="4:8" ht="15.75" customHeight="1">
      <c r="D795" s="12"/>
      <c r="H795" s="12"/>
    </row>
    <row r="796" spans="4:8" ht="15.75" customHeight="1">
      <c r="D796" s="12"/>
      <c r="H796" s="12"/>
    </row>
    <row r="797" spans="4:8" ht="15.75" customHeight="1">
      <c r="D797" s="12"/>
      <c r="H797" s="12"/>
    </row>
    <row r="798" spans="4:8" ht="15.75" customHeight="1">
      <c r="D798" s="12"/>
      <c r="H798" s="12"/>
    </row>
    <row r="799" spans="4:8" ht="15.75" customHeight="1">
      <c r="D799" s="12"/>
      <c r="H799" s="12"/>
    </row>
    <row r="800" spans="4:8" ht="15.75" customHeight="1">
      <c r="D800" s="12"/>
      <c r="H800" s="12"/>
    </row>
    <row r="801" spans="4:8" ht="15.75" customHeight="1">
      <c r="D801" s="12"/>
      <c r="H801" s="12"/>
    </row>
    <row r="802" spans="4:8" ht="15.75" customHeight="1">
      <c r="D802" s="12"/>
      <c r="H802" s="12"/>
    </row>
    <row r="803" spans="4:8" ht="15.75" customHeight="1">
      <c r="D803" s="12"/>
      <c r="H803" s="12"/>
    </row>
    <row r="804" spans="4:8" ht="15.75" customHeight="1">
      <c r="D804" s="12"/>
      <c r="H804" s="12"/>
    </row>
    <row r="805" spans="4:8" ht="15.75" customHeight="1">
      <c r="D805" s="12"/>
      <c r="H805" s="12"/>
    </row>
    <row r="806" spans="4:8" ht="15.75" customHeight="1">
      <c r="D806" s="12"/>
      <c r="H806" s="12"/>
    </row>
    <row r="807" spans="4:8" ht="15.75" customHeight="1">
      <c r="D807" s="12"/>
      <c r="H807" s="12"/>
    </row>
    <row r="808" spans="4:8" ht="15.75" customHeight="1">
      <c r="D808" s="12"/>
      <c r="H808" s="12"/>
    </row>
    <row r="809" spans="4:8" ht="15.75" customHeight="1">
      <c r="D809" s="12"/>
      <c r="H809" s="12"/>
    </row>
    <row r="810" spans="4:8" ht="15.75" customHeight="1">
      <c r="D810" s="12"/>
      <c r="H810" s="12"/>
    </row>
    <row r="811" spans="4:8" ht="15.75" customHeight="1">
      <c r="D811" s="12"/>
      <c r="H811" s="12"/>
    </row>
    <row r="812" spans="4:8" ht="15.75" customHeight="1">
      <c r="D812" s="12"/>
      <c r="H812" s="12"/>
    </row>
    <row r="813" spans="4:8" ht="15.75" customHeight="1">
      <c r="D813" s="12"/>
      <c r="H813" s="12"/>
    </row>
    <row r="814" spans="4:8" ht="15.75" customHeight="1">
      <c r="D814" s="12"/>
      <c r="H814" s="12"/>
    </row>
    <row r="815" spans="4:8" ht="15.75" customHeight="1">
      <c r="D815" s="12"/>
      <c r="H815" s="12"/>
    </row>
    <row r="816" spans="4:8" ht="15.75" customHeight="1">
      <c r="D816" s="12"/>
      <c r="H816" s="12"/>
    </row>
    <row r="817" spans="4:8" ht="15.75" customHeight="1">
      <c r="D817" s="12"/>
      <c r="H817" s="12"/>
    </row>
    <row r="818" spans="4:8" ht="15.75" customHeight="1">
      <c r="D818" s="12"/>
      <c r="H818" s="12"/>
    </row>
    <row r="819" spans="4:8" ht="15.75" customHeight="1">
      <c r="D819" s="12"/>
      <c r="H819" s="12"/>
    </row>
    <row r="820" spans="4:8" ht="15.75" customHeight="1">
      <c r="D820" s="12"/>
      <c r="H820" s="12"/>
    </row>
    <row r="821" spans="4:8" ht="15.75" customHeight="1">
      <c r="D821" s="12"/>
      <c r="H821" s="12"/>
    </row>
    <row r="822" spans="4:8" ht="15.75" customHeight="1">
      <c r="D822" s="12"/>
      <c r="H822" s="12"/>
    </row>
    <row r="823" spans="4:8" ht="15.75" customHeight="1">
      <c r="D823" s="12"/>
      <c r="H823" s="12"/>
    </row>
    <row r="824" spans="4:8" ht="15.75" customHeight="1">
      <c r="D824" s="12"/>
      <c r="H824" s="12"/>
    </row>
    <row r="825" spans="4:8" ht="15.75" customHeight="1">
      <c r="D825" s="12"/>
      <c r="H825" s="12"/>
    </row>
    <row r="826" spans="4:8" ht="15.75" customHeight="1">
      <c r="D826" s="12"/>
      <c r="H826" s="12"/>
    </row>
    <row r="827" spans="4:8" ht="15.75" customHeight="1">
      <c r="D827" s="12"/>
      <c r="H827" s="12"/>
    </row>
    <row r="828" spans="4:8" ht="15.75" customHeight="1">
      <c r="D828" s="12"/>
      <c r="H828" s="12"/>
    </row>
    <row r="829" spans="4:8" ht="15.75" customHeight="1">
      <c r="D829" s="12"/>
      <c r="H829" s="12"/>
    </row>
    <row r="830" spans="4:8" ht="15.75" customHeight="1">
      <c r="D830" s="12"/>
      <c r="H830" s="12"/>
    </row>
    <row r="831" spans="4:8" ht="15.75" customHeight="1">
      <c r="D831" s="12"/>
      <c r="H831" s="12"/>
    </row>
    <row r="832" spans="4:8" ht="15.75" customHeight="1">
      <c r="D832" s="12"/>
      <c r="H832" s="12"/>
    </row>
    <row r="833" spans="4:8" ht="15.75" customHeight="1">
      <c r="D833" s="12"/>
      <c r="H833" s="12"/>
    </row>
    <row r="834" spans="4:8" ht="15.75" customHeight="1">
      <c r="D834" s="12"/>
      <c r="H834" s="12"/>
    </row>
    <row r="835" spans="4:8" ht="15.75" customHeight="1">
      <c r="D835" s="12"/>
      <c r="H835" s="12"/>
    </row>
    <row r="836" spans="4:8" ht="15.75" customHeight="1">
      <c r="D836" s="12"/>
      <c r="H836" s="12"/>
    </row>
    <row r="837" spans="4:8" ht="15.75" customHeight="1">
      <c r="D837" s="12"/>
      <c r="H837" s="12"/>
    </row>
    <row r="838" spans="4:8" ht="15.75" customHeight="1">
      <c r="D838" s="12"/>
      <c r="H838" s="12"/>
    </row>
    <row r="839" spans="4:8" ht="15.75" customHeight="1">
      <c r="D839" s="12"/>
      <c r="H839" s="12"/>
    </row>
    <row r="840" spans="4:8" ht="15.75" customHeight="1">
      <c r="D840" s="12"/>
      <c r="H840" s="12"/>
    </row>
    <row r="841" spans="4:8" ht="15.75" customHeight="1">
      <c r="D841" s="12"/>
      <c r="H841" s="12"/>
    </row>
    <row r="842" spans="4:8" ht="15.75" customHeight="1">
      <c r="D842" s="12"/>
      <c r="H842" s="12"/>
    </row>
    <row r="843" spans="4:8" ht="15.75" customHeight="1">
      <c r="D843" s="12"/>
      <c r="H843" s="12"/>
    </row>
    <row r="844" spans="4:8" ht="15.75" customHeight="1">
      <c r="D844" s="12"/>
      <c r="H844" s="12"/>
    </row>
    <row r="845" spans="4:8" ht="15.75" customHeight="1">
      <c r="D845" s="12"/>
      <c r="H845" s="12"/>
    </row>
    <row r="846" spans="4:8" ht="15.75" customHeight="1">
      <c r="D846" s="12"/>
      <c r="H846" s="12"/>
    </row>
    <row r="847" spans="4:8" ht="15.75" customHeight="1">
      <c r="D847" s="12"/>
      <c r="H847" s="12"/>
    </row>
    <row r="848" spans="4:8" ht="15.75" customHeight="1">
      <c r="D848" s="12"/>
      <c r="H848" s="12"/>
    </row>
    <row r="849" spans="4:8" ht="15.75" customHeight="1">
      <c r="D849" s="12"/>
      <c r="H849" s="12"/>
    </row>
    <row r="850" spans="4:8" ht="15.75" customHeight="1">
      <c r="D850" s="12"/>
      <c r="H850" s="12"/>
    </row>
    <row r="851" spans="4:8" ht="15.75" customHeight="1">
      <c r="D851" s="12"/>
      <c r="H851" s="12"/>
    </row>
    <row r="852" spans="4:8" ht="15.75" customHeight="1">
      <c r="D852" s="12"/>
      <c r="H852" s="12"/>
    </row>
    <row r="853" spans="4:8" ht="15.75" customHeight="1">
      <c r="D853" s="12"/>
      <c r="H853" s="12"/>
    </row>
    <row r="854" spans="4:8" ht="15.75" customHeight="1">
      <c r="D854" s="12"/>
      <c r="H854" s="12"/>
    </row>
    <row r="855" spans="4:8" ht="15.75" customHeight="1">
      <c r="D855" s="12"/>
      <c r="H855" s="12"/>
    </row>
    <row r="856" spans="4:8" ht="15.75" customHeight="1">
      <c r="D856" s="12"/>
      <c r="H856" s="12"/>
    </row>
    <row r="857" spans="4:8" ht="15.75" customHeight="1">
      <c r="D857" s="12"/>
      <c r="H857" s="12"/>
    </row>
    <row r="858" spans="4:8" ht="15.75" customHeight="1">
      <c r="D858" s="12"/>
      <c r="H858" s="12"/>
    </row>
    <row r="859" spans="4:8" ht="15.75" customHeight="1">
      <c r="D859" s="12"/>
      <c r="H859" s="12"/>
    </row>
    <row r="860" spans="4:8" ht="15.75" customHeight="1">
      <c r="D860" s="12"/>
      <c r="H860" s="12"/>
    </row>
    <row r="861" spans="4:8" ht="15.75" customHeight="1">
      <c r="D861" s="12"/>
      <c r="H861" s="12"/>
    </row>
    <row r="862" spans="4:8" ht="15.75" customHeight="1">
      <c r="D862" s="12"/>
      <c r="H862" s="12"/>
    </row>
    <row r="863" spans="4:8" ht="15.75" customHeight="1">
      <c r="D863" s="12"/>
      <c r="H863" s="12"/>
    </row>
    <row r="864" spans="4:8" ht="15.75" customHeight="1">
      <c r="D864" s="12"/>
      <c r="H864" s="12"/>
    </row>
    <row r="865" spans="4:8" ht="15.75" customHeight="1">
      <c r="D865" s="12"/>
      <c r="H865" s="12"/>
    </row>
    <row r="866" spans="4:8" ht="15.75" customHeight="1">
      <c r="D866" s="12"/>
      <c r="H866" s="12"/>
    </row>
    <row r="867" spans="4:8" ht="15.75" customHeight="1">
      <c r="D867" s="12"/>
      <c r="H867" s="12"/>
    </row>
    <row r="868" spans="4:8" ht="15.75" customHeight="1">
      <c r="D868" s="12"/>
      <c r="H868" s="12"/>
    </row>
    <row r="869" spans="4:8" ht="15.75" customHeight="1">
      <c r="D869" s="12"/>
      <c r="H869" s="12"/>
    </row>
    <row r="870" spans="4:8" ht="15.75" customHeight="1">
      <c r="D870" s="12"/>
      <c r="H870" s="12"/>
    </row>
    <row r="871" spans="4:8" ht="15.75" customHeight="1">
      <c r="D871" s="12"/>
      <c r="H871" s="12"/>
    </row>
    <row r="872" spans="4:8" ht="15.75" customHeight="1">
      <c r="D872" s="12"/>
      <c r="H872" s="12"/>
    </row>
    <row r="873" spans="4:8" ht="15.75" customHeight="1">
      <c r="D873" s="12"/>
      <c r="H873" s="12"/>
    </row>
    <row r="874" spans="4:8" ht="15.75" customHeight="1">
      <c r="D874" s="12"/>
      <c r="H874" s="12"/>
    </row>
    <row r="875" spans="4:8" ht="15.75" customHeight="1">
      <c r="D875" s="12"/>
      <c r="H875" s="12"/>
    </row>
    <row r="876" spans="4:8" ht="15.75" customHeight="1">
      <c r="D876" s="12"/>
      <c r="H876" s="12"/>
    </row>
    <row r="877" spans="4:8" ht="15.75" customHeight="1">
      <c r="D877" s="12"/>
      <c r="H877" s="12"/>
    </row>
    <row r="878" spans="4:8" ht="15.75" customHeight="1">
      <c r="D878" s="12"/>
      <c r="H878" s="12"/>
    </row>
    <row r="879" spans="4:8" ht="15.75" customHeight="1">
      <c r="D879" s="12"/>
      <c r="H879" s="12"/>
    </row>
    <row r="880" spans="4:8" ht="15.75" customHeight="1">
      <c r="D880" s="12"/>
      <c r="H880" s="12"/>
    </row>
    <row r="881" spans="4:8" ht="15.75" customHeight="1">
      <c r="D881" s="12"/>
      <c r="H881" s="12"/>
    </row>
    <row r="882" spans="4:8" ht="15.75" customHeight="1">
      <c r="D882" s="12"/>
      <c r="H882" s="12"/>
    </row>
    <row r="883" spans="4:8" ht="15.75" customHeight="1">
      <c r="D883" s="12"/>
      <c r="H883" s="12"/>
    </row>
    <row r="884" spans="4:8" ht="15.75" customHeight="1">
      <c r="D884" s="12"/>
      <c r="H884" s="12"/>
    </row>
    <row r="885" spans="4:8" ht="15.75" customHeight="1">
      <c r="D885" s="12"/>
      <c r="H885" s="12"/>
    </row>
    <row r="886" spans="4:8" ht="15.75" customHeight="1">
      <c r="D886" s="12"/>
      <c r="H886" s="12"/>
    </row>
    <row r="887" spans="4:8" ht="15.75" customHeight="1">
      <c r="D887" s="12"/>
      <c r="H887" s="12"/>
    </row>
    <row r="888" spans="4:8" ht="15.75" customHeight="1">
      <c r="D888" s="12"/>
      <c r="H888" s="12"/>
    </row>
    <row r="889" spans="4:8" ht="15.75" customHeight="1">
      <c r="D889" s="12"/>
      <c r="H889" s="12"/>
    </row>
    <row r="890" spans="4:8" ht="15.75" customHeight="1">
      <c r="D890" s="12"/>
      <c r="H890" s="12"/>
    </row>
    <row r="891" spans="4:8" ht="15.75" customHeight="1">
      <c r="D891" s="12"/>
      <c r="H891" s="12"/>
    </row>
    <row r="892" spans="4:8" ht="15.75" customHeight="1">
      <c r="D892" s="12"/>
      <c r="H892" s="12"/>
    </row>
    <row r="893" spans="4:8" ht="15.75" customHeight="1">
      <c r="D893" s="12"/>
      <c r="H893" s="12"/>
    </row>
    <row r="894" spans="4:8" ht="15.75" customHeight="1">
      <c r="D894" s="12"/>
      <c r="H894" s="12"/>
    </row>
    <row r="895" spans="4:8" ht="15.75" customHeight="1">
      <c r="D895" s="12"/>
      <c r="H895" s="12"/>
    </row>
    <row r="896" spans="4:8" ht="15.75" customHeight="1">
      <c r="D896" s="12"/>
      <c r="H896" s="12"/>
    </row>
    <row r="897" spans="4:8" ht="15.75" customHeight="1">
      <c r="D897" s="12"/>
      <c r="H897" s="12"/>
    </row>
    <row r="898" spans="4:8" ht="15.75" customHeight="1">
      <c r="D898" s="12"/>
      <c r="H898" s="12"/>
    </row>
    <row r="899" spans="4:8" ht="15.75" customHeight="1">
      <c r="D899" s="12"/>
      <c r="H899" s="12"/>
    </row>
    <row r="900" spans="4:8" ht="15.75" customHeight="1">
      <c r="D900" s="12"/>
      <c r="H900" s="12"/>
    </row>
    <row r="901" spans="4:8" ht="15.75" customHeight="1">
      <c r="D901" s="12"/>
      <c r="H901" s="12"/>
    </row>
    <row r="902" spans="4:8" ht="15.75" customHeight="1">
      <c r="D902" s="12"/>
      <c r="H902" s="12"/>
    </row>
    <row r="903" spans="4:8" ht="15.75" customHeight="1">
      <c r="D903" s="12"/>
      <c r="H903" s="12"/>
    </row>
    <row r="904" spans="4:8" ht="15.75" customHeight="1">
      <c r="D904" s="12"/>
      <c r="H904" s="12"/>
    </row>
    <row r="905" spans="4:8" ht="15.75" customHeight="1">
      <c r="D905" s="12"/>
      <c r="H905" s="12"/>
    </row>
    <row r="906" spans="4:8" ht="15.75" customHeight="1">
      <c r="D906" s="12"/>
      <c r="H906" s="12"/>
    </row>
    <row r="907" spans="4:8" ht="15.75" customHeight="1">
      <c r="D907" s="12"/>
      <c r="H907" s="12"/>
    </row>
    <row r="908" spans="4:8" ht="15.75" customHeight="1">
      <c r="D908" s="12"/>
      <c r="H908" s="12"/>
    </row>
    <row r="909" spans="4:8" ht="15.75" customHeight="1">
      <c r="D909" s="12"/>
      <c r="H909" s="12"/>
    </row>
    <row r="910" spans="4:8" ht="15.75" customHeight="1">
      <c r="D910" s="12"/>
      <c r="H910" s="12"/>
    </row>
    <row r="911" spans="4:8" ht="15.75" customHeight="1">
      <c r="D911" s="12"/>
      <c r="H911" s="12"/>
    </row>
    <row r="912" spans="4:8" ht="15.75" customHeight="1">
      <c r="D912" s="12"/>
      <c r="H912" s="12"/>
    </row>
    <row r="913" spans="4:8" ht="15.75" customHeight="1">
      <c r="D913" s="12"/>
      <c r="H913" s="12"/>
    </row>
    <row r="914" spans="4:8" ht="15.75" customHeight="1">
      <c r="D914" s="12"/>
      <c r="H914" s="12"/>
    </row>
    <row r="915" spans="4:8" ht="15.75" customHeight="1">
      <c r="D915" s="12"/>
      <c r="H915" s="12"/>
    </row>
    <row r="916" spans="4:8" ht="15.75" customHeight="1">
      <c r="D916" s="12"/>
      <c r="H916" s="12"/>
    </row>
    <row r="917" spans="4:8" ht="15.75" customHeight="1">
      <c r="D917" s="12"/>
      <c r="H917" s="12"/>
    </row>
    <row r="918" spans="4:8" ht="15.75" customHeight="1">
      <c r="D918" s="12"/>
      <c r="H918" s="12"/>
    </row>
    <row r="919" spans="4:8" ht="15.75" customHeight="1">
      <c r="D919" s="12"/>
      <c r="H919" s="12"/>
    </row>
    <row r="920" spans="4:8" ht="15.75" customHeight="1">
      <c r="D920" s="12"/>
      <c r="H920" s="12"/>
    </row>
    <row r="921" spans="4:8" ht="15.75" customHeight="1">
      <c r="D921" s="12"/>
      <c r="H921" s="12"/>
    </row>
    <row r="922" spans="4:8" ht="15.75" customHeight="1">
      <c r="D922" s="12"/>
      <c r="H922" s="12"/>
    </row>
    <row r="923" spans="4:8" ht="15.75" customHeight="1">
      <c r="D923" s="12"/>
      <c r="H923" s="12"/>
    </row>
    <row r="924" spans="4:8" ht="15.75" customHeight="1">
      <c r="D924" s="12"/>
      <c r="H924" s="12"/>
    </row>
    <row r="925" spans="4:8" ht="15.75" customHeight="1">
      <c r="D925" s="12"/>
      <c r="H925" s="12"/>
    </row>
    <row r="926" spans="4:8" ht="15.75" customHeight="1">
      <c r="D926" s="12"/>
      <c r="H926" s="12"/>
    </row>
    <row r="927" spans="4:8" ht="15.75" customHeight="1">
      <c r="D927" s="12"/>
      <c r="H927" s="12"/>
    </row>
    <row r="928" spans="4:8" ht="15.75" customHeight="1">
      <c r="D928" s="12"/>
      <c r="H928" s="12"/>
    </row>
    <row r="929" spans="4:8" ht="15.75" customHeight="1">
      <c r="D929" s="12"/>
      <c r="H929" s="12"/>
    </row>
    <row r="930" spans="4:8" ht="15.75" customHeight="1">
      <c r="D930" s="12"/>
      <c r="H930" s="12"/>
    </row>
    <row r="931" spans="4:8" ht="15.75" customHeight="1">
      <c r="D931" s="12"/>
      <c r="H931" s="12"/>
    </row>
    <row r="932" spans="4:8" ht="15.75" customHeight="1">
      <c r="D932" s="12"/>
      <c r="H932" s="12"/>
    </row>
    <row r="933" spans="4:8" ht="15.75" customHeight="1">
      <c r="D933" s="12"/>
      <c r="H933" s="12"/>
    </row>
    <row r="934" spans="4:8" ht="15.75" customHeight="1">
      <c r="D934" s="12"/>
      <c r="H934" s="12"/>
    </row>
    <row r="935" spans="4:8" ht="15.75" customHeight="1">
      <c r="D935" s="12"/>
      <c r="H935" s="12"/>
    </row>
    <row r="936" spans="4:8" ht="15.75" customHeight="1">
      <c r="D936" s="12"/>
      <c r="H936" s="12"/>
    </row>
    <row r="937" spans="4:8" ht="15.75" customHeight="1">
      <c r="D937" s="12"/>
      <c r="H937" s="12"/>
    </row>
    <row r="938" spans="4:8" ht="15.75" customHeight="1">
      <c r="D938" s="12"/>
      <c r="H938" s="12"/>
    </row>
    <row r="939" spans="4:8" ht="15.75" customHeight="1">
      <c r="D939" s="12"/>
      <c r="H939" s="12"/>
    </row>
    <row r="940" spans="4:8" ht="15.75" customHeight="1">
      <c r="D940" s="12"/>
      <c r="H940" s="12"/>
    </row>
    <row r="941" spans="4:8" ht="15.75" customHeight="1">
      <c r="D941" s="12"/>
      <c r="H941" s="12"/>
    </row>
    <row r="942" spans="4:8" ht="15.75" customHeight="1">
      <c r="D942" s="12"/>
      <c r="H942" s="12"/>
    </row>
    <row r="943" spans="4:8" ht="15.75" customHeight="1">
      <c r="D943" s="12"/>
      <c r="H943" s="12"/>
    </row>
    <row r="944" spans="4:8" ht="15.75" customHeight="1">
      <c r="D944" s="12"/>
      <c r="H944" s="12"/>
    </row>
    <row r="945" spans="4:8" ht="15.75" customHeight="1">
      <c r="D945" s="12"/>
      <c r="H945" s="12"/>
    </row>
    <row r="946" spans="4:8" ht="15.75" customHeight="1">
      <c r="D946" s="12"/>
      <c r="H946" s="12"/>
    </row>
    <row r="947" spans="4:8" ht="15.75" customHeight="1">
      <c r="D947" s="12"/>
      <c r="H947" s="12"/>
    </row>
    <row r="948" spans="4:8" ht="15.75" customHeight="1">
      <c r="D948" s="12"/>
      <c r="H948" s="12"/>
    </row>
    <row r="949" spans="4:8" ht="15.75" customHeight="1">
      <c r="D949" s="12"/>
      <c r="H949" s="12"/>
    </row>
    <row r="950" spans="4:8" ht="15.75" customHeight="1">
      <c r="D950" s="12"/>
      <c r="H950" s="12"/>
    </row>
    <row r="951" spans="4:8" ht="15.75" customHeight="1">
      <c r="D951" s="12"/>
      <c r="H951" s="12"/>
    </row>
    <row r="952" spans="4:8" ht="15.75" customHeight="1">
      <c r="D952" s="12"/>
      <c r="H952" s="12"/>
    </row>
    <row r="953" spans="4:8" ht="15.75" customHeight="1">
      <c r="D953" s="12"/>
      <c r="H953" s="12"/>
    </row>
    <row r="954" spans="4:8" ht="15.75" customHeight="1">
      <c r="D954" s="12"/>
      <c r="H954" s="12"/>
    </row>
    <row r="955" spans="4:8" ht="15.75" customHeight="1">
      <c r="D955" s="12"/>
      <c r="H955" s="12"/>
    </row>
    <row r="956" spans="4:8" ht="15.75" customHeight="1">
      <c r="D956" s="12"/>
      <c r="H956" s="12"/>
    </row>
    <row r="957" spans="4:8" ht="15.75" customHeight="1">
      <c r="D957" s="12"/>
      <c r="H957" s="12"/>
    </row>
    <row r="958" spans="4:8" ht="15.75" customHeight="1">
      <c r="D958" s="12"/>
      <c r="H958" s="12"/>
    </row>
    <row r="959" spans="4:8" ht="15.75" customHeight="1">
      <c r="D959" s="12"/>
      <c r="H959" s="12"/>
    </row>
    <row r="960" spans="4:8" ht="15.75" customHeight="1">
      <c r="D960" s="12"/>
      <c r="H960" s="12"/>
    </row>
    <row r="961" spans="4:8" ht="15.75" customHeight="1">
      <c r="D961" s="12"/>
      <c r="H961" s="12"/>
    </row>
    <row r="962" spans="4:8" ht="15.75" customHeight="1">
      <c r="D962" s="12"/>
      <c r="H962" s="12"/>
    </row>
    <row r="963" spans="4:8" ht="15.75" customHeight="1">
      <c r="D963" s="12"/>
      <c r="H963" s="12"/>
    </row>
    <row r="964" spans="4:8" ht="15.75" customHeight="1">
      <c r="D964" s="12"/>
      <c r="H964" s="12"/>
    </row>
    <row r="965" spans="4:8" ht="15.75" customHeight="1">
      <c r="D965" s="12"/>
      <c r="H965" s="12"/>
    </row>
    <row r="966" spans="4:8" ht="15.75" customHeight="1">
      <c r="D966" s="12"/>
      <c r="H966" s="12"/>
    </row>
    <row r="967" spans="4:8" ht="15.75" customHeight="1">
      <c r="D967" s="12"/>
      <c r="H967" s="12"/>
    </row>
    <row r="968" spans="4:8" ht="15.75" customHeight="1">
      <c r="D968" s="12"/>
      <c r="H968" s="12"/>
    </row>
    <row r="969" spans="4:8" ht="15.75" customHeight="1">
      <c r="D969" s="12"/>
      <c r="H969" s="12"/>
    </row>
    <row r="970" spans="4:8" ht="15.75" customHeight="1">
      <c r="D970" s="12"/>
      <c r="H970" s="12"/>
    </row>
    <row r="971" spans="4:8" ht="15.75" customHeight="1">
      <c r="D971" s="12"/>
      <c r="H971" s="12"/>
    </row>
    <row r="972" spans="4:8" ht="15.75" customHeight="1">
      <c r="D972" s="12"/>
      <c r="H972" s="12"/>
    </row>
    <row r="973" spans="4:8" ht="15.75" customHeight="1">
      <c r="D973" s="12"/>
      <c r="H973" s="12"/>
    </row>
    <row r="974" spans="4:8" ht="15.75" customHeight="1">
      <c r="D974" s="12"/>
      <c r="H974" s="12"/>
    </row>
    <row r="975" spans="4:8" ht="15.75" customHeight="1">
      <c r="D975" s="12"/>
      <c r="H975" s="12"/>
    </row>
    <row r="976" spans="4:8" ht="15.75" customHeight="1">
      <c r="D976" s="12"/>
      <c r="H976" s="12"/>
    </row>
    <row r="977" spans="4:8" ht="15.75" customHeight="1">
      <c r="D977" s="12"/>
      <c r="H977" s="12"/>
    </row>
    <row r="978" spans="4:8" ht="15.75" customHeight="1">
      <c r="D978" s="12"/>
      <c r="H978" s="12"/>
    </row>
    <row r="979" spans="4:8" ht="15.75" customHeight="1">
      <c r="D979" s="12"/>
      <c r="H979" s="12"/>
    </row>
    <row r="980" spans="4:8" ht="15.75" customHeight="1">
      <c r="D980" s="12"/>
      <c r="H980" s="12"/>
    </row>
    <row r="981" spans="4:8" ht="15.75" customHeight="1">
      <c r="D981" s="12"/>
      <c r="H981" s="12"/>
    </row>
    <row r="982" spans="4:8" ht="15.75" customHeight="1">
      <c r="D982" s="12"/>
      <c r="H982" s="12"/>
    </row>
    <row r="983" spans="4:8" ht="15.75" customHeight="1">
      <c r="D983" s="12"/>
      <c r="H983" s="12"/>
    </row>
    <row r="984" spans="4:8" ht="15.75" customHeight="1">
      <c r="D984" s="12"/>
      <c r="H984" s="12"/>
    </row>
    <row r="985" spans="4:8" ht="15.75" customHeight="1">
      <c r="D985" s="12"/>
      <c r="H985" s="12"/>
    </row>
    <row r="986" spans="4:8" ht="15.75" customHeight="1">
      <c r="D986" s="12"/>
      <c r="H986" s="12"/>
    </row>
    <row r="987" spans="4:8" ht="15.75" customHeight="1">
      <c r="D987" s="12"/>
      <c r="H987" s="12"/>
    </row>
    <row r="988" spans="4:8" ht="15.75" customHeight="1">
      <c r="D988" s="12"/>
      <c r="H988" s="12"/>
    </row>
    <row r="989" spans="4:8" ht="15.75" customHeight="1">
      <c r="D989" s="12"/>
      <c r="H989" s="12"/>
    </row>
    <row r="990" spans="4:8" ht="15.75" customHeight="1">
      <c r="D990" s="12"/>
      <c r="H990" s="12"/>
    </row>
    <row r="991" spans="4:8" ht="15.75" customHeight="1">
      <c r="D991" s="12"/>
      <c r="H991" s="12"/>
    </row>
    <row r="992" spans="4:8" ht="15.75" customHeight="1">
      <c r="D992" s="12"/>
      <c r="H992" s="12"/>
    </row>
    <row r="993" spans="4:8" ht="15.75" customHeight="1">
      <c r="D993" s="12"/>
      <c r="H993" s="12"/>
    </row>
    <row r="994" spans="4:8" ht="15.75" customHeight="1">
      <c r="D994" s="12"/>
      <c r="H994" s="12"/>
    </row>
    <row r="995" spans="4:8" ht="15.75" customHeight="1">
      <c r="D995" s="12"/>
      <c r="H995" s="12"/>
    </row>
    <row r="996" spans="4:8" ht="15.75" customHeight="1">
      <c r="D996" s="12"/>
      <c r="H996" s="12"/>
    </row>
    <row r="997" spans="4:8" ht="15.75" customHeight="1">
      <c r="D997" s="12"/>
      <c r="H997" s="12"/>
    </row>
    <row r="998" spans="4:8" ht="15.75" customHeight="1">
      <c r="D998" s="12"/>
      <c r="H998" s="12"/>
    </row>
    <row r="999" spans="4:8" ht="15.75" customHeight="1">
      <c r="D999" s="12"/>
      <c r="H999" s="12"/>
    </row>
    <row r="1000" spans="4:8" ht="15.75" customHeight="1">
      <c r="D1000" s="12"/>
      <c r="H1000" s="12"/>
    </row>
    <row r="1001" spans="4:8" ht="15.75" customHeight="1">
      <c r="D1001" s="12"/>
      <c r="H1001" s="12"/>
    </row>
    <row r="1002" spans="4:8" ht="15.75" customHeight="1">
      <c r="D1002" s="12"/>
      <c r="H1002" s="12"/>
    </row>
  </sheetData>
  <mergeCells count="4">
    <mergeCell ref="M2:Q2"/>
    <mergeCell ref="M3:T13"/>
    <mergeCell ref="M15:T18"/>
    <mergeCell ref="M20:T22"/>
  </mergeCells>
  <phoneticPr fontId="33" type="noConversion"/>
  <conditionalFormatting sqref="G2:G14 G16:G125">
    <cfRule type="cellIs" dxfId="5" priority="2" operator="lessThan">
      <formula>0</formula>
    </cfRule>
  </conditionalFormatting>
  <conditionalFormatting sqref="G126:G192">
    <cfRule type="cellIs" dxfId="4" priority="3" operator="lessThan">
      <formula>0</formula>
    </cfRule>
  </conditionalFormatting>
  <conditionalFormatting sqref="G193">
    <cfRule type="cellIs" dxfId="3" priority="5" operator="lessThan">
      <formula>0</formula>
    </cfRule>
  </conditionalFormatting>
  <conditionalFormatting sqref="G15">
    <cfRule type="cellIs" dxfId="2" priority="1" operator="lessThan">
      <formula>0</formula>
    </cfRule>
  </conditionalFormatting>
  <dataValidations count="2">
    <dataValidation type="list" allowBlank="1" showErrorMessage="1" sqref="D2:D193" xr:uid="{00000000-0002-0000-0000-000000000000}">
      <formula1>Equipo</formula1>
    </dataValidation>
    <dataValidation type="list" allowBlank="1" showInputMessage="1" showErrorMessage="1" sqref="I2:I38" xr:uid="{00000000-0002-0000-0000-000001000000}">
      <formula1>Conceptos</formula1>
    </dataValidation>
  </dataValidations>
  <pageMargins left="0.7" right="0.7" top="0.75" bottom="0.75" header="0" footer="0"/>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dimension ref="B1:Q995"/>
  <sheetViews>
    <sheetView showGridLines="0" zoomScale="85" zoomScaleNormal="85" workbookViewId="0">
      <selection activeCell="D6" sqref="D6"/>
    </sheetView>
  </sheetViews>
  <sheetFormatPr defaultColWidth="14.44140625" defaultRowHeight="15" customHeight="1"/>
  <cols>
    <col min="1" max="1" width="10.6640625" customWidth="1"/>
    <col min="2" max="2" width="24.44140625" customWidth="1"/>
    <col min="3" max="3" width="13.88671875" customWidth="1"/>
    <col min="4" max="5" width="12.88671875" customWidth="1"/>
    <col min="6" max="8" width="12.6640625" customWidth="1"/>
    <col min="9" max="14" width="12.88671875" customWidth="1"/>
    <col min="15" max="15" width="14.5546875" customWidth="1"/>
    <col min="16" max="16" width="13.88671875" customWidth="1"/>
    <col min="17" max="17" width="11.44140625" customWidth="1"/>
    <col min="18" max="26" width="10.6640625" customWidth="1"/>
  </cols>
  <sheetData>
    <row r="1" spans="2:17" thickBot="1">
      <c r="Q1" s="9"/>
    </row>
    <row r="2" spans="2:17" ht="18.600000000000001" thickTop="1">
      <c r="C2" s="186">
        <v>2026</v>
      </c>
      <c r="D2" s="187"/>
      <c r="E2" s="187"/>
      <c r="F2" s="187"/>
      <c r="G2" s="187"/>
      <c r="H2" s="187"/>
      <c r="I2" s="188">
        <v>2027</v>
      </c>
      <c r="J2" s="189"/>
      <c r="K2" s="189"/>
      <c r="L2" s="189"/>
      <c r="M2" s="189"/>
      <c r="N2" s="190"/>
      <c r="O2" s="191" t="s">
        <v>66</v>
      </c>
      <c r="P2" s="192"/>
      <c r="Q2" s="192"/>
    </row>
    <row r="3" spans="2:17" thickBot="1">
      <c r="C3" s="25">
        <v>46204</v>
      </c>
      <c r="D3" s="26">
        <v>46235</v>
      </c>
      <c r="E3" s="26">
        <v>46266</v>
      </c>
      <c r="F3" s="26">
        <v>46296</v>
      </c>
      <c r="G3" s="109">
        <v>46327</v>
      </c>
      <c r="H3" s="109">
        <v>46357</v>
      </c>
      <c r="I3" s="111">
        <v>46388</v>
      </c>
      <c r="J3" s="28">
        <v>46419</v>
      </c>
      <c r="K3" s="27">
        <v>46447</v>
      </c>
      <c r="L3" s="28">
        <v>46478</v>
      </c>
      <c r="M3" s="27">
        <v>46508</v>
      </c>
      <c r="N3" s="112">
        <v>46539</v>
      </c>
      <c r="O3" s="28">
        <v>46569</v>
      </c>
      <c r="P3" s="28"/>
      <c r="Q3" s="29"/>
    </row>
    <row r="4" spans="2:17" ht="15.6" thickTop="1" thickBot="1">
      <c r="B4" s="30" t="s">
        <v>3</v>
      </c>
      <c r="C4" s="121" t="s">
        <v>30</v>
      </c>
      <c r="D4" s="114" t="s">
        <v>68</v>
      </c>
      <c r="E4" s="114" t="s">
        <v>69</v>
      </c>
      <c r="F4" s="114" t="s">
        <v>70</v>
      </c>
      <c r="G4" s="125" t="s">
        <v>71</v>
      </c>
      <c r="H4" s="125" t="s">
        <v>72</v>
      </c>
      <c r="I4" s="113" t="s">
        <v>73</v>
      </c>
      <c r="J4" s="128" t="s">
        <v>74</v>
      </c>
      <c r="K4" s="31" t="s">
        <v>75</v>
      </c>
      <c r="L4" s="128" t="s">
        <v>76</v>
      </c>
      <c r="M4" s="31" t="s">
        <v>77</v>
      </c>
      <c r="N4" s="129" t="s">
        <v>78</v>
      </c>
      <c r="O4" s="32" t="s">
        <v>31</v>
      </c>
      <c r="P4" s="33" t="s">
        <v>30</v>
      </c>
      <c r="Q4" s="34" t="s">
        <v>32</v>
      </c>
    </row>
    <row r="5" spans="2:17" thickTop="1">
      <c r="B5" s="119" t="s">
        <v>90</v>
      </c>
      <c r="C5" s="122">
        <v>1000000</v>
      </c>
      <c r="D5" s="115">
        <f>SUMPRODUCT((Pagos!$D$2:$D$299503=B5)*(Pagos!$B$2:$B$299503&gt;=$D$3)*(Pagos!$B$2:$B$299503&lt;$E$3)*(Pagos!$I$2:$I$299503=O2)*(Pagos!$G$2:$G$299503))</f>
        <v>300000</v>
      </c>
      <c r="E5" s="115"/>
      <c r="F5" s="115"/>
      <c r="G5" s="115"/>
      <c r="H5" s="115"/>
      <c r="I5" s="110"/>
      <c r="J5" s="115"/>
      <c r="K5" s="110"/>
      <c r="L5" s="115"/>
      <c r="M5" s="110"/>
      <c r="N5" s="115"/>
      <c r="O5" s="35">
        <f t="shared" ref="O5:O14" si="0">SUM(D5:N5)</f>
        <v>300000</v>
      </c>
      <c r="P5" s="36">
        <f>C5-O5</f>
        <v>700000</v>
      </c>
      <c r="Q5" s="37">
        <f>O5/C5</f>
        <v>0.3</v>
      </c>
    </row>
    <row r="6" spans="2:17" ht="14.4">
      <c r="B6" s="119"/>
      <c r="C6" s="123">
        <v>1000000</v>
      </c>
      <c r="D6" s="116">
        <f>SUMPRODUCT((Pagos!$D$2:$D$299503=B6)*(Pagos!$B$2:$B$299503&gt;=$D$3)*(Pagos!$B$2:$B$299503&lt;$E$3)*(Pagos!$G$2:$G$299503))</f>
        <v>0</v>
      </c>
      <c r="E6" s="116"/>
      <c r="F6" s="116"/>
      <c r="G6" s="116"/>
      <c r="H6" s="116"/>
      <c r="I6" s="110"/>
      <c r="J6" s="116"/>
      <c r="K6" s="110"/>
      <c r="L6" s="116"/>
      <c r="M6" s="110"/>
      <c r="N6" s="116"/>
      <c r="O6" s="38">
        <f t="shared" si="0"/>
        <v>0</v>
      </c>
      <c r="P6" s="36">
        <f>C6-O6</f>
        <v>1000000</v>
      </c>
      <c r="Q6" s="37">
        <f>O6/C6</f>
        <v>0</v>
      </c>
    </row>
    <row r="7" spans="2:17" ht="14.4">
      <c r="B7" s="119"/>
      <c r="C7" s="123">
        <v>1000000</v>
      </c>
      <c r="D7" s="116">
        <f>SUMPRODUCT((Pagos!$D$2:$D$299503=B7)*(Pagos!$B$2:$B$299503&gt;=$D$3)*(Pagos!$B$2:$B$299503&lt;$E$3)*(Pagos!$G$2:$G$299503))</f>
        <v>0</v>
      </c>
      <c r="E7" s="116"/>
      <c r="F7" s="116"/>
      <c r="G7" s="116"/>
      <c r="H7" s="116"/>
      <c r="I7" s="110"/>
      <c r="J7" s="116"/>
      <c r="K7" s="110"/>
      <c r="L7" s="116"/>
      <c r="M7" s="110"/>
      <c r="N7" s="116"/>
      <c r="O7" s="38">
        <f t="shared" si="0"/>
        <v>0</v>
      </c>
      <c r="P7" s="36">
        <f>C7-O7</f>
        <v>1000000</v>
      </c>
      <c r="Q7" s="37">
        <f>O7/C7</f>
        <v>0</v>
      </c>
    </row>
    <row r="8" spans="2:17" ht="14.4">
      <c r="B8" s="119"/>
      <c r="C8" s="123">
        <v>1000000</v>
      </c>
      <c r="D8" s="116">
        <f>SUMPRODUCT((Pagos!$D$2:$D$299503=B8)*(Pagos!$B$2:$B$299503&gt;=$D$3)*(Pagos!$B$2:$B$299503&lt;$E$3)*(Pagos!$G$2:$G$299503))</f>
        <v>0</v>
      </c>
      <c r="E8" s="116"/>
      <c r="F8" s="116"/>
      <c r="G8" s="116"/>
      <c r="H8" s="126"/>
      <c r="I8" s="110"/>
      <c r="J8" s="116"/>
      <c r="K8" s="110"/>
      <c r="L8" s="116"/>
      <c r="M8" s="110"/>
      <c r="N8" s="116"/>
      <c r="O8" s="38">
        <f t="shared" si="0"/>
        <v>0</v>
      </c>
      <c r="P8" s="36">
        <f>C8-O8</f>
        <v>1000000</v>
      </c>
      <c r="Q8" s="37">
        <f>O8/C8</f>
        <v>0</v>
      </c>
    </row>
    <row r="9" spans="2:17" ht="14.4">
      <c r="B9" s="120" t="s">
        <v>33</v>
      </c>
      <c r="C9" s="118"/>
      <c r="D9" s="118">
        <f>SUMPRODUCT((Pagos!$D$2:$D$299503=B9)*(Pagos!$B$2:$B$299503&gt;=$D$3)*(Pagos!$B$2:$B$299503&lt;$E$3)*(Pagos!$G$2:$G$299503))</f>
        <v>0</v>
      </c>
      <c r="E9" s="118"/>
      <c r="F9" s="118"/>
      <c r="G9" s="118"/>
      <c r="H9" s="118"/>
      <c r="I9" s="39"/>
      <c r="J9" s="118"/>
      <c r="K9" s="39"/>
      <c r="L9" s="118"/>
      <c r="M9" s="39"/>
      <c r="N9" s="130"/>
      <c r="O9" s="40">
        <f t="shared" si="0"/>
        <v>0</v>
      </c>
      <c r="P9" s="41"/>
      <c r="Q9" s="42"/>
    </row>
    <row r="10" spans="2:17" ht="14.4">
      <c r="B10" s="119"/>
      <c r="C10" s="123">
        <v>1000000</v>
      </c>
      <c r="D10" s="116">
        <f>SUMPRODUCT((Pagos!$D$2:$D$299503=B10)*(Pagos!$B$2:$B$299503&gt;=$D$3)*(Pagos!$B$2:$B$299503&lt;$E$3)*(Pagos!$G$2:$G$299503))</f>
        <v>0</v>
      </c>
      <c r="E10" s="116"/>
      <c r="F10" s="116"/>
      <c r="G10" s="116"/>
      <c r="H10" s="116"/>
      <c r="I10" s="110"/>
      <c r="J10" s="116"/>
      <c r="K10" s="110"/>
      <c r="L10" s="116"/>
      <c r="M10" s="110"/>
      <c r="N10" s="116"/>
      <c r="O10" s="38">
        <f t="shared" si="0"/>
        <v>0</v>
      </c>
      <c r="P10" s="36">
        <f>C10-O10</f>
        <v>1000000</v>
      </c>
      <c r="Q10" s="37">
        <f>O10/C10</f>
        <v>0</v>
      </c>
    </row>
    <row r="11" spans="2:17" ht="14.4">
      <c r="B11" s="119"/>
      <c r="C11" s="123">
        <v>1000000</v>
      </c>
      <c r="D11" s="116">
        <f>SUMPRODUCT((Pagos!$D$2:$D$299503=B11)*(Pagos!$B$2:$B$299503&gt;=$D$3)*(Pagos!$B$2:$B$299503&lt;$E$3)*(Pagos!$G$2:$G$299503))</f>
        <v>0</v>
      </c>
      <c r="E11" s="116"/>
      <c r="F11" s="116"/>
      <c r="G11" s="116"/>
      <c r="H11" s="116"/>
      <c r="I11" s="110"/>
      <c r="J11" s="116"/>
      <c r="K11" s="110"/>
      <c r="L11" s="116"/>
      <c r="M11" s="110"/>
      <c r="N11" s="116"/>
      <c r="O11" s="38">
        <f t="shared" si="0"/>
        <v>0</v>
      </c>
      <c r="P11" s="36">
        <f>C11-O11</f>
        <v>1000000</v>
      </c>
      <c r="Q11" s="37">
        <f>O11/C11</f>
        <v>0</v>
      </c>
    </row>
    <row r="12" spans="2:17" ht="14.4">
      <c r="B12" s="119"/>
      <c r="C12" s="123">
        <v>1000000</v>
      </c>
      <c r="D12" s="116">
        <f>SUMPRODUCT((Pagos!$D$2:$D$299503=B12)*(Pagos!$B$2:$B$299503&gt;=$D$3)*(Pagos!$B$2:$B$299503&lt;$E$3)*(Pagos!$G$2:$G$299503))</f>
        <v>0</v>
      </c>
      <c r="E12" s="116"/>
      <c r="F12" s="116"/>
      <c r="G12" s="116"/>
      <c r="H12" s="116"/>
      <c r="I12" s="110"/>
      <c r="J12" s="116"/>
      <c r="K12" s="110"/>
      <c r="L12" s="116"/>
      <c r="M12" s="110"/>
      <c r="N12" s="116"/>
      <c r="O12" s="38">
        <f t="shared" si="0"/>
        <v>0</v>
      </c>
      <c r="P12" s="36">
        <f>C12-O12</f>
        <v>1000000</v>
      </c>
      <c r="Q12" s="37">
        <f>O12/C12</f>
        <v>0</v>
      </c>
    </row>
    <row r="13" spans="2:17" ht="14.4">
      <c r="B13" s="119"/>
      <c r="C13" s="123">
        <v>1000000</v>
      </c>
      <c r="D13" s="116">
        <f>SUMPRODUCT((Pagos!$D$2:$D$299503=B13)*(Pagos!$B$2:$B$299503&gt;=$D$3)*(Pagos!$B$2:$B$299503&lt;$E$3)*(Pagos!$G$2:$G$299503))</f>
        <v>0</v>
      </c>
      <c r="E13" s="116"/>
      <c r="F13" s="116"/>
      <c r="G13" s="116"/>
      <c r="H13" s="126"/>
      <c r="I13" s="110"/>
      <c r="J13" s="116"/>
      <c r="K13" s="110"/>
      <c r="L13" s="116"/>
      <c r="M13" s="110"/>
      <c r="N13" s="116"/>
      <c r="O13" s="38">
        <f t="shared" si="0"/>
        <v>0</v>
      </c>
      <c r="P13" s="36">
        <f>C13-O13</f>
        <v>1000000</v>
      </c>
      <c r="Q13" s="37">
        <f>O13/C13</f>
        <v>0</v>
      </c>
    </row>
    <row r="14" spans="2:17" thickBot="1">
      <c r="B14" s="119"/>
      <c r="C14" s="124">
        <v>1000000</v>
      </c>
      <c r="D14" s="117">
        <f>SUMPRODUCT((Pagos!$D$2:$D$299503=B14)*(Pagos!$B$2:$B$299503&gt;=$D$3)*(Pagos!$B$2:$B$299503&lt;$E$3)*(Pagos!$G$2:$G$299503))</f>
        <v>0</v>
      </c>
      <c r="E14" s="117"/>
      <c r="F14" s="117"/>
      <c r="G14" s="117"/>
      <c r="H14" s="117"/>
      <c r="I14" s="127"/>
      <c r="J14" s="117"/>
      <c r="K14" s="127"/>
      <c r="L14" s="117"/>
      <c r="M14" s="127"/>
      <c r="N14" s="117"/>
      <c r="O14" s="43">
        <f t="shared" si="0"/>
        <v>0</v>
      </c>
      <c r="P14" s="44">
        <f>C14-O14</f>
        <v>1000000</v>
      </c>
      <c r="Q14" s="45">
        <f>O14/C14</f>
        <v>0</v>
      </c>
    </row>
    <row r="15" spans="2:17" ht="15.6" thickTop="1" thickBot="1">
      <c r="B15" s="46" t="s">
        <v>35</v>
      </c>
      <c r="C15" s="47">
        <f>SUM(C5:C14)</f>
        <v>9000000</v>
      </c>
      <c r="D15" s="47">
        <f>SUM(D5:D14)</f>
        <v>300000</v>
      </c>
      <c r="E15" s="47">
        <f>SUM(E5:E14)</f>
        <v>0</v>
      </c>
      <c r="F15" s="47">
        <f>SUM(F5:F14)</f>
        <v>0</v>
      </c>
      <c r="G15" s="47"/>
      <c r="H15" s="47">
        <f t="shared" ref="H15:N15" si="1">SUM(H5:H14)</f>
        <v>0</v>
      </c>
      <c r="I15" s="107">
        <f t="shared" si="1"/>
        <v>0</v>
      </c>
      <c r="J15" s="49">
        <f t="shared" si="1"/>
        <v>0</v>
      </c>
      <c r="K15" s="49">
        <f t="shared" si="1"/>
        <v>0</v>
      </c>
      <c r="L15" s="49">
        <f t="shared" si="1"/>
        <v>0</v>
      </c>
      <c r="M15" s="50">
        <f t="shared" si="1"/>
        <v>0</v>
      </c>
      <c r="N15" s="108">
        <f t="shared" si="1"/>
        <v>0</v>
      </c>
      <c r="O15" s="51">
        <f>SUM(O5:O14,O14)</f>
        <v>300000</v>
      </c>
      <c r="P15" s="48">
        <f>SUM(P5:P14)</f>
        <v>8700000</v>
      </c>
      <c r="Q15" s="52">
        <f>P15/C15</f>
        <v>0.96666666666666667</v>
      </c>
    </row>
    <row r="16" spans="2:17" ht="15.75" customHeight="1" thickTop="1">
      <c r="Q16" s="9"/>
    </row>
    <row r="17" spans="17:17" ht="15.75" customHeight="1">
      <c r="Q17" s="9"/>
    </row>
    <row r="18" spans="17:17" ht="15.75" customHeight="1">
      <c r="Q18" s="9"/>
    </row>
    <row r="19" spans="17:17" ht="15.75" customHeight="1">
      <c r="Q19" s="9"/>
    </row>
    <row r="20" spans="17:17" ht="15.75" customHeight="1">
      <c r="Q20" s="9"/>
    </row>
    <row r="21" spans="17:17" ht="15.75" customHeight="1">
      <c r="Q21" s="9"/>
    </row>
    <row r="22" spans="17:17" ht="15.75" customHeight="1">
      <c r="Q22" s="9"/>
    </row>
    <row r="23" spans="17:17" ht="15.75" customHeight="1">
      <c r="Q23" s="9"/>
    </row>
    <row r="24" spans="17:17" ht="15.75" customHeight="1">
      <c r="Q24" s="9"/>
    </row>
    <row r="25" spans="17:17" ht="15.75" customHeight="1">
      <c r="Q25" s="9"/>
    </row>
    <row r="26" spans="17:17" ht="15.75" customHeight="1">
      <c r="Q26" s="9"/>
    </row>
    <row r="27" spans="17:17" ht="15.75" customHeight="1">
      <c r="Q27" s="9"/>
    </row>
    <row r="28" spans="17:17" ht="15.75" customHeight="1">
      <c r="Q28" s="9"/>
    </row>
    <row r="29" spans="17:17" ht="15.75" customHeight="1">
      <c r="Q29" s="9"/>
    </row>
    <row r="30" spans="17:17" ht="15.75" customHeight="1">
      <c r="Q30" s="9"/>
    </row>
    <row r="31" spans="17:17" ht="15.75" customHeight="1">
      <c r="Q31" s="9"/>
    </row>
    <row r="32" spans="17:17" ht="15.75" customHeight="1">
      <c r="Q32" s="9"/>
    </row>
    <row r="33" spans="17:17" ht="15.75" customHeight="1">
      <c r="Q33" s="9"/>
    </row>
    <row r="34" spans="17:17" ht="15.75" customHeight="1">
      <c r="Q34" s="9"/>
    </row>
    <row r="35" spans="17:17" ht="15.75" customHeight="1">
      <c r="Q35" s="9"/>
    </row>
    <row r="36" spans="17:17" ht="15.75" customHeight="1">
      <c r="Q36" s="9"/>
    </row>
    <row r="37" spans="17:17" ht="15.75" customHeight="1">
      <c r="Q37" s="9"/>
    </row>
    <row r="38" spans="17:17" ht="15.75" customHeight="1">
      <c r="Q38" s="9"/>
    </row>
    <row r="39" spans="17:17" ht="15.75" customHeight="1">
      <c r="Q39" s="9"/>
    </row>
    <row r="40" spans="17:17" ht="15.75" customHeight="1">
      <c r="Q40" s="9"/>
    </row>
    <row r="41" spans="17:17" ht="15.75" customHeight="1">
      <c r="Q41" s="9"/>
    </row>
    <row r="42" spans="17:17" ht="15.75" customHeight="1">
      <c r="Q42" s="9"/>
    </row>
    <row r="43" spans="17:17" ht="15.75" customHeight="1">
      <c r="Q43" s="9"/>
    </row>
    <row r="44" spans="17:17" ht="15.75" customHeight="1">
      <c r="Q44" s="9"/>
    </row>
    <row r="45" spans="17:17" ht="15.75" customHeight="1">
      <c r="Q45" s="9"/>
    </row>
    <row r="46" spans="17:17" ht="15.75" customHeight="1">
      <c r="Q46" s="9"/>
    </row>
    <row r="47" spans="17:17" ht="15.75" customHeight="1">
      <c r="Q47" s="9"/>
    </row>
    <row r="48" spans="17:17" ht="15.75" customHeight="1">
      <c r="Q48" s="9"/>
    </row>
    <row r="49" spans="17:17" ht="15.75" customHeight="1">
      <c r="Q49" s="9"/>
    </row>
    <row r="50" spans="17:17" ht="15.75" customHeight="1">
      <c r="Q50" s="9"/>
    </row>
    <row r="51" spans="17:17" ht="15.75" customHeight="1">
      <c r="Q51" s="9"/>
    </row>
    <row r="52" spans="17:17" ht="15.75" customHeight="1">
      <c r="Q52" s="9"/>
    </row>
    <row r="53" spans="17:17" ht="15.75" customHeight="1">
      <c r="Q53" s="9"/>
    </row>
    <row r="54" spans="17:17" ht="15.75" customHeight="1">
      <c r="Q54" s="9"/>
    </row>
    <row r="55" spans="17:17" ht="15.75" customHeight="1">
      <c r="Q55" s="9"/>
    </row>
    <row r="56" spans="17:17" ht="15.75" customHeight="1">
      <c r="Q56" s="9"/>
    </row>
    <row r="57" spans="17:17" ht="15.75" customHeight="1">
      <c r="Q57" s="9"/>
    </row>
    <row r="58" spans="17:17" ht="15.75" customHeight="1">
      <c r="Q58" s="9"/>
    </row>
    <row r="59" spans="17:17" ht="15.75" customHeight="1">
      <c r="Q59" s="9"/>
    </row>
    <row r="60" spans="17:17" ht="15.75" customHeight="1">
      <c r="Q60" s="9"/>
    </row>
    <row r="61" spans="17:17" ht="15.75" customHeight="1">
      <c r="Q61" s="9"/>
    </row>
    <row r="62" spans="17:17" ht="15.75" customHeight="1">
      <c r="Q62" s="9"/>
    </row>
    <row r="63" spans="17:17" ht="15.75" customHeight="1">
      <c r="Q63" s="9"/>
    </row>
    <row r="64" spans="17:17" ht="15.75" customHeight="1">
      <c r="Q64" s="9"/>
    </row>
    <row r="65" spans="17:17" ht="15.75" customHeight="1">
      <c r="Q65" s="9"/>
    </row>
    <row r="66" spans="17:17" ht="15.75" customHeight="1">
      <c r="Q66" s="9"/>
    </row>
    <row r="67" spans="17:17" ht="15.75" customHeight="1">
      <c r="Q67" s="9"/>
    </row>
    <row r="68" spans="17:17" ht="15.75" customHeight="1">
      <c r="Q68" s="9"/>
    </row>
    <row r="69" spans="17:17" ht="15.75" customHeight="1">
      <c r="Q69" s="9"/>
    </row>
    <row r="70" spans="17:17" ht="15.75" customHeight="1">
      <c r="Q70" s="9"/>
    </row>
    <row r="71" spans="17:17" ht="15.75" customHeight="1">
      <c r="Q71" s="9"/>
    </row>
    <row r="72" spans="17:17" ht="15.75" customHeight="1">
      <c r="Q72" s="9"/>
    </row>
    <row r="73" spans="17:17" ht="15.75" customHeight="1">
      <c r="Q73" s="9"/>
    </row>
    <row r="74" spans="17:17" ht="15.75" customHeight="1">
      <c r="Q74" s="9"/>
    </row>
    <row r="75" spans="17:17" ht="15.75" customHeight="1">
      <c r="Q75" s="9"/>
    </row>
    <row r="76" spans="17:17" ht="15.75" customHeight="1">
      <c r="Q76" s="9"/>
    </row>
    <row r="77" spans="17:17" ht="15.75" customHeight="1">
      <c r="Q77" s="9"/>
    </row>
    <row r="78" spans="17:17" ht="15.75" customHeight="1">
      <c r="Q78" s="9"/>
    </row>
    <row r="79" spans="17:17" ht="15.75" customHeight="1">
      <c r="Q79" s="9"/>
    </row>
    <row r="80" spans="17:17" ht="15.75" customHeight="1">
      <c r="Q80" s="9"/>
    </row>
    <row r="81" spans="17:17" ht="15.75" customHeight="1">
      <c r="Q81" s="9"/>
    </row>
    <row r="82" spans="17:17" ht="15.75" customHeight="1">
      <c r="Q82" s="9"/>
    </row>
    <row r="83" spans="17:17" ht="15.75" customHeight="1">
      <c r="Q83" s="9"/>
    </row>
    <row r="84" spans="17:17" ht="15.75" customHeight="1">
      <c r="Q84" s="9"/>
    </row>
    <row r="85" spans="17:17" ht="15.75" customHeight="1">
      <c r="Q85" s="9"/>
    </row>
    <row r="86" spans="17:17" ht="15.75" customHeight="1">
      <c r="Q86" s="9"/>
    </row>
    <row r="87" spans="17:17" ht="15.75" customHeight="1">
      <c r="Q87" s="9"/>
    </row>
    <row r="88" spans="17:17" ht="15.75" customHeight="1">
      <c r="Q88" s="9"/>
    </row>
    <row r="89" spans="17:17" ht="15.75" customHeight="1">
      <c r="Q89" s="9"/>
    </row>
    <row r="90" spans="17:17" ht="15.75" customHeight="1">
      <c r="Q90" s="9"/>
    </row>
    <row r="91" spans="17:17" ht="15.75" customHeight="1">
      <c r="Q91" s="9"/>
    </row>
    <row r="92" spans="17:17" ht="15.75" customHeight="1">
      <c r="Q92" s="9"/>
    </row>
    <row r="93" spans="17:17" ht="15.75" customHeight="1">
      <c r="Q93" s="9"/>
    </row>
    <row r="94" spans="17:17" ht="15.75" customHeight="1">
      <c r="Q94" s="9"/>
    </row>
    <row r="95" spans="17:17" ht="15.75" customHeight="1">
      <c r="Q95" s="9"/>
    </row>
    <row r="96" spans="17:17" ht="15.75" customHeight="1">
      <c r="Q96" s="9"/>
    </row>
    <row r="97" spans="17:17" ht="15.75" customHeight="1">
      <c r="Q97" s="9"/>
    </row>
    <row r="98" spans="17:17" ht="15.75" customHeight="1">
      <c r="Q98" s="9"/>
    </row>
    <row r="99" spans="17:17" ht="15.75" customHeight="1">
      <c r="Q99" s="9"/>
    </row>
    <row r="100" spans="17:17" ht="15.75" customHeight="1">
      <c r="Q100" s="9"/>
    </row>
    <row r="101" spans="17:17" ht="15.75" customHeight="1">
      <c r="Q101" s="9"/>
    </row>
    <row r="102" spans="17:17" ht="15.75" customHeight="1">
      <c r="Q102" s="9"/>
    </row>
    <row r="103" spans="17:17" ht="15.75" customHeight="1">
      <c r="Q103" s="9"/>
    </row>
    <row r="104" spans="17:17" ht="15.75" customHeight="1">
      <c r="Q104" s="9"/>
    </row>
    <row r="105" spans="17:17" ht="15.75" customHeight="1">
      <c r="Q105" s="9"/>
    </row>
    <row r="106" spans="17:17" ht="15.75" customHeight="1">
      <c r="Q106" s="9"/>
    </row>
    <row r="107" spans="17:17" ht="15.75" customHeight="1">
      <c r="Q107" s="9"/>
    </row>
    <row r="108" spans="17:17" ht="15.75" customHeight="1">
      <c r="Q108" s="9"/>
    </row>
    <row r="109" spans="17:17" ht="15.75" customHeight="1">
      <c r="Q109" s="9"/>
    </row>
    <row r="110" spans="17:17" ht="15.75" customHeight="1">
      <c r="Q110" s="9"/>
    </row>
    <row r="111" spans="17:17" ht="15.75" customHeight="1">
      <c r="Q111" s="9"/>
    </row>
    <row r="112" spans="17:17" ht="15.75" customHeight="1">
      <c r="Q112" s="9"/>
    </row>
    <row r="113" spans="17:17" ht="15.75" customHeight="1">
      <c r="Q113" s="9"/>
    </row>
    <row r="114" spans="17:17" ht="15.75" customHeight="1">
      <c r="Q114" s="9"/>
    </row>
    <row r="115" spans="17:17" ht="15.75" customHeight="1">
      <c r="Q115" s="9"/>
    </row>
    <row r="116" spans="17:17" ht="15.75" customHeight="1">
      <c r="Q116" s="9"/>
    </row>
    <row r="117" spans="17:17" ht="15.75" customHeight="1">
      <c r="Q117" s="9"/>
    </row>
    <row r="118" spans="17:17" ht="15.75" customHeight="1">
      <c r="Q118" s="9"/>
    </row>
    <row r="119" spans="17:17" ht="15.75" customHeight="1">
      <c r="Q119" s="9"/>
    </row>
    <row r="120" spans="17:17" ht="15.75" customHeight="1">
      <c r="Q120" s="9"/>
    </row>
    <row r="121" spans="17:17" ht="15.75" customHeight="1">
      <c r="Q121" s="9"/>
    </row>
    <row r="122" spans="17:17" ht="15.75" customHeight="1">
      <c r="Q122" s="9"/>
    </row>
    <row r="123" spans="17:17" ht="15.75" customHeight="1">
      <c r="Q123" s="9"/>
    </row>
    <row r="124" spans="17:17" ht="15.75" customHeight="1">
      <c r="Q124" s="9"/>
    </row>
    <row r="125" spans="17:17" ht="15.75" customHeight="1">
      <c r="Q125" s="9"/>
    </row>
    <row r="126" spans="17:17" ht="15.75" customHeight="1">
      <c r="Q126" s="9"/>
    </row>
    <row r="127" spans="17:17" ht="15.75" customHeight="1">
      <c r="Q127" s="9"/>
    </row>
    <row r="128" spans="17:17" ht="15.75" customHeight="1">
      <c r="Q128" s="9"/>
    </row>
    <row r="129" spans="17:17" ht="15.75" customHeight="1">
      <c r="Q129" s="9"/>
    </row>
    <row r="130" spans="17:17" ht="15.75" customHeight="1">
      <c r="Q130" s="9"/>
    </row>
    <row r="131" spans="17:17" ht="15.75" customHeight="1">
      <c r="Q131" s="9"/>
    </row>
    <row r="132" spans="17:17" ht="15.75" customHeight="1">
      <c r="Q132" s="9"/>
    </row>
    <row r="133" spans="17:17" ht="15.75" customHeight="1">
      <c r="Q133" s="9"/>
    </row>
    <row r="134" spans="17:17" ht="15.75" customHeight="1">
      <c r="Q134" s="9"/>
    </row>
    <row r="135" spans="17:17" ht="15.75" customHeight="1">
      <c r="Q135" s="9"/>
    </row>
    <row r="136" spans="17:17" ht="15.75" customHeight="1">
      <c r="Q136" s="9"/>
    </row>
    <row r="137" spans="17:17" ht="15.75" customHeight="1">
      <c r="Q137" s="9"/>
    </row>
    <row r="138" spans="17:17" ht="15.75" customHeight="1">
      <c r="Q138" s="9"/>
    </row>
    <row r="139" spans="17:17" ht="15.75" customHeight="1">
      <c r="Q139" s="9"/>
    </row>
    <row r="140" spans="17:17" ht="15.75" customHeight="1">
      <c r="Q140" s="9"/>
    </row>
    <row r="141" spans="17:17" ht="15.75" customHeight="1">
      <c r="Q141" s="9"/>
    </row>
    <row r="142" spans="17:17" ht="15.75" customHeight="1">
      <c r="Q142" s="9"/>
    </row>
    <row r="143" spans="17:17" ht="15.75" customHeight="1">
      <c r="Q143" s="9"/>
    </row>
    <row r="144" spans="17:17" ht="15.75" customHeight="1">
      <c r="Q144" s="9"/>
    </row>
    <row r="145" spans="17:17" ht="15.75" customHeight="1">
      <c r="Q145" s="9"/>
    </row>
    <row r="146" spans="17:17" ht="15.75" customHeight="1">
      <c r="Q146" s="9"/>
    </row>
    <row r="147" spans="17:17" ht="15.75" customHeight="1">
      <c r="Q147" s="9"/>
    </row>
    <row r="148" spans="17:17" ht="15.75" customHeight="1">
      <c r="Q148" s="9"/>
    </row>
    <row r="149" spans="17:17" ht="15.75" customHeight="1">
      <c r="Q149" s="9"/>
    </row>
    <row r="150" spans="17:17" ht="15.75" customHeight="1">
      <c r="Q150" s="9"/>
    </row>
    <row r="151" spans="17:17" ht="15.75" customHeight="1">
      <c r="Q151" s="9"/>
    </row>
    <row r="152" spans="17:17" ht="15.75" customHeight="1">
      <c r="Q152" s="9"/>
    </row>
    <row r="153" spans="17:17" ht="15.75" customHeight="1">
      <c r="Q153" s="9"/>
    </row>
    <row r="154" spans="17:17" ht="15.75" customHeight="1">
      <c r="Q154" s="9"/>
    </row>
    <row r="155" spans="17:17" ht="15.75" customHeight="1">
      <c r="Q155" s="9"/>
    </row>
    <row r="156" spans="17:17" ht="15.75" customHeight="1">
      <c r="Q156" s="9"/>
    </row>
    <row r="157" spans="17:17" ht="15.75" customHeight="1">
      <c r="Q157" s="9"/>
    </row>
    <row r="158" spans="17:17" ht="15.75" customHeight="1">
      <c r="Q158" s="9"/>
    </row>
    <row r="159" spans="17:17" ht="15.75" customHeight="1">
      <c r="Q159" s="9"/>
    </row>
    <row r="160" spans="17:17" ht="15.75" customHeight="1">
      <c r="Q160" s="9"/>
    </row>
    <row r="161" spans="17:17" ht="15.75" customHeight="1">
      <c r="Q161" s="9"/>
    </row>
    <row r="162" spans="17:17" ht="15.75" customHeight="1">
      <c r="Q162" s="9"/>
    </row>
    <row r="163" spans="17:17" ht="15.75" customHeight="1">
      <c r="Q163" s="9"/>
    </row>
    <row r="164" spans="17:17" ht="15.75" customHeight="1">
      <c r="Q164" s="9"/>
    </row>
    <row r="165" spans="17:17" ht="15.75" customHeight="1">
      <c r="Q165" s="9"/>
    </row>
    <row r="166" spans="17:17" ht="15.75" customHeight="1">
      <c r="Q166" s="9"/>
    </row>
    <row r="167" spans="17:17" ht="15.75" customHeight="1">
      <c r="Q167" s="9"/>
    </row>
    <row r="168" spans="17:17" ht="15.75" customHeight="1">
      <c r="Q168" s="9"/>
    </row>
    <row r="169" spans="17:17" ht="15.75" customHeight="1">
      <c r="Q169" s="9"/>
    </row>
    <row r="170" spans="17:17" ht="15.75" customHeight="1">
      <c r="Q170" s="9"/>
    </row>
    <row r="171" spans="17:17" ht="15.75" customHeight="1">
      <c r="Q171" s="9"/>
    </row>
    <row r="172" spans="17:17" ht="15.75" customHeight="1">
      <c r="Q172" s="9"/>
    </row>
    <row r="173" spans="17:17" ht="15.75" customHeight="1">
      <c r="Q173" s="9"/>
    </row>
    <row r="174" spans="17:17" ht="15.75" customHeight="1">
      <c r="Q174" s="9"/>
    </row>
    <row r="175" spans="17:17" ht="15.75" customHeight="1">
      <c r="Q175" s="9"/>
    </row>
    <row r="176" spans="17:17" ht="15.75" customHeight="1">
      <c r="Q176" s="9"/>
    </row>
    <row r="177" spans="17:17" ht="15.75" customHeight="1">
      <c r="Q177" s="9"/>
    </row>
    <row r="178" spans="17:17" ht="15.75" customHeight="1">
      <c r="Q178" s="9"/>
    </row>
    <row r="179" spans="17:17" ht="15.75" customHeight="1">
      <c r="Q179" s="9"/>
    </row>
    <row r="180" spans="17:17" ht="15.75" customHeight="1">
      <c r="Q180" s="9"/>
    </row>
    <row r="181" spans="17:17" ht="15.75" customHeight="1">
      <c r="Q181" s="9"/>
    </row>
    <row r="182" spans="17:17" ht="15.75" customHeight="1">
      <c r="Q182" s="9"/>
    </row>
    <row r="183" spans="17:17" ht="15.75" customHeight="1">
      <c r="Q183" s="9"/>
    </row>
    <row r="184" spans="17:17" ht="15.75" customHeight="1">
      <c r="Q184" s="9"/>
    </row>
    <row r="185" spans="17:17" ht="15.75" customHeight="1">
      <c r="Q185" s="9"/>
    </row>
    <row r="186" spans="17:17" ht="15.75" customHeight="1">
      <c r="Q186" s="9"/>
    </row>
    <row r="187" spans="17:17" ht="15.75" customHeight="1">
      <c r="Q187" s="9"/>
    </row>
    <row r="188" spans="17:17" ht="15.75" customHeight="1">
      <c r="Q188" s="9"/>
    </row>
    <row r="189" spans="17:17" ht="15.75" customHeight="1">
      <c r="Q189" s="9"/>
    </row>
    <row r="190" spans="17:17" ht="15.75" customHeight="1">
      <c r="Q190" s="9"/>
    </row>
    <row r="191" spans="17:17" ht="15.75" customHeight="1">
      <c r="Q191" s="9"/>
    </row>
    <row r="192" spans="17:17" ht="15.75" customHeight="1">
      <c r="Q192" s="9"/>
    </row>
    <row r="193" spans="17:17" ht="15.75" customHeight="1">
      <c r="Q193" s="9"/>
    </row>
    <row r="194" spans="17:17" ht="15.75" customHeight="1">
      <c r="Q194" s="9"/>
    </row>
    <row r="195" spans="17:17" ht="15.75" customHeight="1">
      <c r="Q195" s="9"/>
    </row>
    <row r="196" spans="17:17" ht="15.75" customHeight="1">
      <c r="Q196" s="9"/>
    </row>
    <row r="197" spans="17:17" ht="15.75" customHeight="1">
      <c r="Q197" s="9"/>
    </row>
    <row r="198" spans="17:17" ht="15.75" customHeight="1">
      <c r="Q198" s="9"/>
    </row>
    <row r="199" spans="17:17" ht="15.75" customHeight="1">
      <c r="Q199" s="9"/>
    </row>
    <row r="200" spans="17:17" ht="15.75" customHeight="1">
      <c r="Q200" s="9"/>
    </row>
    <row r="201" spans="17:17" ht="15.75" customHeight="1">
      <c r="Q201" s="9"/>
    </row>
    <row r="202" spans="17:17" ht="15.75" customHeight="1">
      <c r="Q202" s="9"/>
    </row>
    <row r="203" spans="17:17" ht="15.75" customHeight="1">
      <c r="Q203" s="9"/>
    </row>
    <row r="204" spans="17:17" ht="15.75" customHeight="1">
      <c r="Q204" s="9"/>
    </row>
    <row r="205" spans="17:17" ht="15.75" customHeight="1">
      <c r="Q205" s="9"/>
    </row>
    <row r="206" spans="17:17" ht="15.75" customHeight="1">
      <c r="Q206" s="9"/>
    </row>
    <row r="207" spans="17:17" ht="15.75" customHeight="1">
      <c r="Q207" s="9"/>
    </row>
    <row r="208" spans="17:17" ht="15.75" customHeight="1">
      <c r="Q208" s="9"/>
    </row>
    <row r="209" spans="17:17" ht="15.75" customHeight="1">
      <c r="Q209" s="9"/>
    </row>
    <row r="210" spans="17:17" ht="15.75" customHeight="1">
      <c r="Q210" s="9"/>
    </row>
    <row r="211" spans="17:17" ht="15.75" customHeight="1">
      <c r="Q211" s="9"/>
    </row>
    <row r="212" spans="17:17" ht="15.75" customHeight="1">
      <c r="Q212" s="9"/>
    </row>
    <row r="213" spans="17:17" ht="15.75" customHeight="1">
      <c r="Q213" s="9"/>
    </row>
    <row r="214" spans="17:17" ht="15.75" customHeight="1">
      <c r="Q214" s="9"/>
    </row>
    <row r="215" spans="17:17" ht="15.75" customHeight="1">
      <c r="Q215" s="9"/>
    </row>
    <row r="216" spans="17:17" ht="15.75" customHeight="1">
      <c r="Q216" s="9"/>
    </row>
    <row r="217" spans="17:17" ht="15.75" customHeight="1">
      <c r="Q217" s="9"/>
    </row>
    <row r="218" spans="17:17" ht="15.75" customHeight="1">
      <c r="Q218" s="9"/>
    </row>
    <row r="219" spans="17:17" ht="15.75" customHeight="1">
      <c r="Q219" s="9"/>
    </row>
    <row r="220" spans="17:17" ht="15.75" customHeight="1">
      <c r="Q220" s="9"/>
    </row>
    <row r="221" spans="17:17" ht="15.75" customHeight="1">
      <c r="Q221" s="9"/>
    </row>
    <row r="222" spans="17:17" ht="15.75" customHeight="1">
      <c r="Q222" s="9"/>
    </row>
    <row r="223" spans="17:17" ht="15.75" customHeight="1">
      <c r="Q223" s="9"/>
    </row>
    <row r="224" spans="17:17" ht="15.75" customHeight="1">
      <c r="Q224" s="9"/>
    </row>
    <row r="225" spans="17:17" ht="15.75" customHeight="1">
      <c r="Q225" s="9"/>
    </row>
    <row r="226" spans="17:17" ht="15.75" customHeight="1">
      <c r="Q226" s="9"/>
    </row>
    <row r="227" spans="17:17" ht="15.75" customHeight="1">
      <c r="Q227" s="9"/>
    </row>
    <row r="228" spans="17:17" ht="15.75" customHeight="1">
      <c r="Q228" s="9"/>
    </row>
    <row r="229" spans="17:17" ht="15.75" customHeight="1">
      <c r="Q229" s="9"/>
    </row>
    <row r="230" spans="17:17" ht="15.75" customHeight="1">
      <c r="Q230" s="9"/>
    </row>
    <row r="231" spans="17:17" ht="15.75" customHeight="1">
      <c r="Q231" s="9"/>
    </row>
    <row r="232" spans="17:17" ht="15.75" customHeight="1">
      <c r="Q232" s="9"/>
    </row>
    <row r="233" spans="17:17" ht="15.75" customHeight="1">
      <c r="Q233" s="9"/>
    </row>
    <row r="234" spans="17:17" ht="15.75" customHeight="1">
      <c r="Q234" s="9"/>
    </row>
    <row r="235" spans="17:17" ht="15.75" customHeight="1">
      <c r="Q235" s="9"/>
    </row>
    <row r="236" spans="17:17" ht="15.75" customHeight="1">
      <c r="Q236" s="9"/>
    </row>
    <row r="237" spans="17:17" ht="15.75" customHeight="1">
      <c r="Q237" s="9"/>
    </row>
    <row r="238" spans="17:17" ht="15.75" customHeight="1">
      <c r="Q238" s="9"/>
    </row>
    <row r="239" spans="17:17" ht="15.75" customHeight="1">
      <c r="Q239" s="9"/>
    </row>
    <row r="240" spans="17:17" ht="15.75" customHeight="1">
      <c r="Q240" s="9"/>
    </row>
    <row r="241" spans="17:17" ht="15.75" customHeight="1">
      <c r="Q241" s="9"/>
    </row>
    <row r="242" spans="17:17" ht="15.75" customHeight="1">
      <c r="Q242" s="9"/>
    </row>
    <row r="243" spans="17:17" ht="15.75" customHeight="1">
      <c r="Q243" s="9"/>
    </row>
    <row r="244" spans="17:17" ht="15.75" customHeight="1">
      <c r="Q244" s="9"/>
    </row>
    <row r="245" spans="17:17" ht="15.75" customHeight="1">
      <c r="Q245" s="9"/>
    </row>
    <row r="246" spans="17:17" ht="15.75" customHeight="1">
      <c r="Q246" s="9"/>
    </row>
    <row r="247" spans="17:17" ht="15.75" customHeight="1">
      <c r="Q247" s="9"/>
    </row>
    <row r="248" spans="17:17" ht="15.75" customHeight="1">
      <c r="Q248" s="9"/>
    </row>
    <row r="249" spans="17:17" ht="15.75" customHeight="1">
      <c r="Q249" s="9"/>
    </row>
    <row r="250" spans="17:17" ht="15.75" customHeight="1">
      <c r="Q250" s="9"/>
    </row>
    <row r="251" spans="17:17" ht="15.75" customHeight="1">
      <c r="Q251" s="9"/>
    </row>
    <row r="252" spans="17:17" ht="15.75" customHeight="1">
      <c r="Q252" s="9"/>
    </row>
    <row r="253" spans="17:17" ht="15.75" customHeight="1">
      <c r="Q253" s="9"/>
    </row>
    <row r="254" spans="17:17" ht="15.75" customHeight="1">
      <c r="Q254" s="9"/>
    </row>
    <row r="255" spans="17:17" ht="15.75" customHeight="1">
      <c r="Q255" s="9"/>
    </row>
    <row r="256" spans="17:17" ht="15.75" customHeight="1">
      <c r="Q256" s="9"/>
    </row>
    <row r="257" spans="17:17" ht="15.75" customHeight="1">
      <c r="Q257" s="9"/>
    </row>
    <row r="258" spans="17:17" ht="15.75" customHeight="1">
      <c r="Q258" s="9"/>
    </row>
    <row r="259" spans="17:17" ht="15.75" customHeight="1">
      <c r="Q259" s="9"/>
    </row>
    <row r="260" spans="17:17" ht="15.75" customHeight="1">
      <c r="Q260" s="9"/>
    </row>
    <row r="261" spans="17:17" ht="15.75" customHeight="1">
      <c r="Q261" s="9"/>
    </row>
    <row r="262" spans="17:17" ht="15.75" customHeight="1">
      <c r="Q262" s="9"/>
    </row>
    <row r="263" spans="17:17" ht="15.75" customHeight="1">
      <c r="Q263" s="9"/>
    </row>
    <row r="264" spans="17:17" ht="15.75" customHeight="1">
      <c r="Q264" s="9"/>
    </row>
    <row r="265" spans="17:17" ht="15.75" customHeight="1">
      <c r="Q265" s="9"/>
    </row>
    <row r="266" spans="17:17" ht="15.75" customHeight="1">
      <c r="Q266" s="9"/>
    </row>
    <row r="267" spans="17:17" ht="15.75" customHeight="1">
      <c r="Q267" s="9"/>
    </row>
    <row r="268" spans="17:17" ht="15.75" customHeight="1">
      <c r="Q268" s="9"/>
    </row>
    <row r="269" spans="17:17" ht="15.75" customHeight="1">
      <c r="Q269" s="9"/>
    </row>
    <row r="270" spans="17:17" ht="15.75" customHeight="1">
      <c r="Q270" s="9"/>
    </row>
    <row r="271" spans="17:17" ht="15.75" customHeight="1">
      <c r="Q271" s="9"/>
    </row>
    <row r="272" spans="17:17" ht="15.75" customHeight="1">
      <c r="Q272" s="9"/>
    </row>
    <row r="273" spans="17:17" ht="15.75" customHeight="1">
      <c r="Q273" s="9"/>
    </row>
    <row r="274" spans="17:17" ht="15.75" customHeight="1">
      <c r="Q274" s="9"/>
    </row>
    <row r="275" spans="17:17" ht="15.75" customHeight="1">
      <c r="Q275" s="9"/>
    </row>
    <row r="276" spans="17:17" ht="15.75" customHeight="1">
      <c r="Q276" s="9"/>
    </row>
    <row r="277" spans="17:17" ht="15.75" customHeight="1">
      <c r="Q277" s="9"/>
    </row>
    <row r="278" spans="17:17" ht="15.75" customHeight="1">
      <c r="Q278" s="9"/>
    </row>
    <row r="279" spans="17:17" ht="15.75" customHeight="1">
      <c r="Q279" s="9"/>
    </row>
    <row r="280" spans="17:17" ht="15.75" customHeight="1">
      <c r="Q280" s="9"/>
    </row>
    <row r="281" spans="17:17" ht="15.75" customHeight="1">
      <c r="Q281" s="9"/>
    </row>
    <row r="282" spans="17:17" ht="15.75" customHeight="1">
      <c r="Q282" s="9"/>
    </row>
    <row r="283" spans="17:17" ht="15.75" customHeight="1">
      <c r="Q283" s="9"/>
    </row>
    <row r="284" spans="17:17" ht="15.75" customHeight="1">
      <c r="Q284" s="9"/>
    </row>
    <row r="285" spans="17:17" ht="15.75" customHeight="1">
      <c r="Q285" s="9"/>
    </row>
    <row r="286" spans="17:17" ht="15.75" customHeight="1">
      <c r="Q286" s="9"/>
    </row>
    <row r="287" spans="17:17" ht="15.75" customHeight="1">
      <c r="Q287" s="9"/>
    </row>
    <row r="288" spans="17:17" ht="15.75" customHeight="1">
      <c r="Q288" s="9"/>
    </row>
    <row r="289" spans="17:17" ht="15.75" customHeight="1">
      <c r="Q289" s="9"/>
    </row>
    <row r="290" spans="17:17" ht="15.75" customHeight="1">
      <c r="Q290" s="9"/>
    </row>
    <row r="291" spans="17:17" ht="15.75" customHeight="1">
      <c r="Q291" s="9"/>
    </row>
    <row r="292" spans="17:17" ht="15.75" customHeight="1">
      <c r="Q292" s="9"/>
    </row>
    <row r="293" spans="17:17" ht="15.75" customHeight="1">
      <c r="Q293" s="9"/>
    </row>
    <row r="294" spans="17:17" ht="15.75" customHeight="1">
      <c r="Q294" s="9"/>
    </row>
    <row r="295" spans="17:17" ht="15.75" customHeight="1">
      <c r="Q295" s="9"/>
    </row>
    <row r="296" spans="17:17" ht="15.75" customHeight="1">
      <c r="Q296" s="9"/>
    </row>
    <row r="297" spans="17:17" ht="15.75" customHeight="1">
      <c r="Q297" s="9"/>
    </row>
    <row r="298" spans="17:17" ht="15.75" customHeight="1">
      <c r="Q298" s="9"/>
    </row>
    <row r="299" spans="17:17" ht="15.75" customHeight="1">
      <c r="Q299" s="9"/>
    </row>
    <row r="300" spans="17:17" ht="15.75" customHeight="1">
      <c r="Q300" s="9"/>
    </row>
    <row r="301" spans="17:17" ht="15.75" customHeight="1">
      <c r="Q301" s="9"/>
    </row>
    <row r="302" spans="17:17" ht="15.75" customHeight="1">
      <c r="Q302" s="9"/>
    </row>
    <row r="303" spans="17:17" ht="15.75" customHeight="1">
      <c r="Q303" s="9"/>
    </row>
    <row r="304" spans="17:17" ht="15.75" customHeight="1">
      <c r="Q304" s="9"/>
    </row>
    <row r="305" spans="17:17" ht="15.75" customHeight="1">
      <c r="Q305" s="9"/>
    </row>
    <row r="306" spans="17:17" ht="15.75" customHeight="1">
      <c r="Q306" s="9"/>
    </row>
    <row r="307" spans="17:17" ht="15.75" customHeight="1">
      <c r="Q307" s="9"/>
    </row>
    <row r="308" spans="17:17" ht="15.75" customHeight="1">
      <c r="Q308" s="9"/>
    </row>
    <row r="309" spans="17:17" ht="15.75" customHeight="1">
      <c r="Q309" s="9"/>
    </row>
    <row r="310" spans="17:17" ht="15.75" customHeight="1">
      <c r="Q310" s="9"/>
    </row>
    <row r="311" spans="17:17" ht="15.75" customHeight="1">
      <c r="Q311" s="9"/>
    </row>
    <row r="312" spans="17:17" ht="15.75" customHeight="1">
      <c r="Q312" s="9"/>
    </row>
    <row r="313" spans="17:17" ht="15.75" customHeight="1">
      <c r="Q313" s="9"/>
    </row>
    <row r="314" spans="17:17" ht="15.75" customHeight="1">
      <c r="Q314" s="9"/>
    </row>
    <row r="315" spans="17:17" ht="15.75" customHeight="1">
      <c r="Q315" s="9"/>
    </row>
    <row r="316" spans="17:17" ht="15.75" customHeight="1">
      <c r="Q316" s="9"/>
    </row>
    <row r="317" spans="17:17" ht="15.75" customHeight="1">
      <c r="Q317" s="9"/>
    </row>
    <row r="318" spans="17:17" ht="15.75" customHeight="1">
      <c r="Q318" s="9"/>
    </row>
    <row r="319" spans="17:17" ht="15.75" customHeight="1">
      <c r="Q319" s="9"/>
    </row>
    <row r="320" spans="17:17" ht="15.75" customHeight="1">
      <c r="Q320" s="9"/>
    </row>
    <row r="321" spans="17:17" ht="15.75" customHeight="1">
      <c r="Q321" s="9"/>
    </row>
    <row r="322" spans="17:17" ht="15.75" customHeight="1">
      <c r="Q322" s="9"/>
    </row>
    <row r="323" spans="17:17" ht="15.75" customHeight="1">
      <c r="Q323" s="9"/>
    </row>
    <row r="324" spans="17:17" ht="15.75" customHeight="1">
      <c r="Q324" s="9"/>
    </row>
    <row r="325" spans="17:17" ht="15.75" customHeight="1">
      <c r="Q325" s="9"/>
    </row>
    <row r="326" spans="17:17" ht="15.75" customHeight="1">
      <c r="Q326" s="9"/>
    </row>
    <row r="327" spans="17:17" ht="15.75" customHeight="1">
      <c r="Q327" s="9"/>
    </row>
    <row r="328" spans="17:17" ht="15.75" customHeight="1">
      <c r="Q328" s="9"/>
    </row>
    <row r="329" spans="17:17" ht="15.75" customHeight="1">
      <c r="Q329" s="9"/>
    </row>
    <row r="330" spans="17:17" ht="15.75" customHeight="1">
      <c r="Q330" s="9"/>
    </row>
    <row r="331" spans="17:17" ht="15.75" customHeight="1">
      <c r="Q331" s="9"/>
    </row>
    <row r="332" spans="17:17" ht="15.75" customHeight="1">
      <c r="Q332" s="9"/>
    </row>
    <row r="333" spans="17:17" ht="15.75" customHeight="1">
      <c r="Q333" s="9"/>
    </row>
    <row r="334" spans="17:17" ht="15.75" customHeight="1">
      <c r="Q334" s="9"/>
    </row>
    <row r="335" spans="17:17" ht="15.75" customHeight="1">
      <c r="Q335" s="9"/>
    </row>
    <row r="336" spans="17:17" ht="15.75" customHeight="1">
      <c r="Q336" s="9"/>
    </row>
    <row r="337" spans="17:17" ht="15.75" customHeight="1">
      <c r="Q337" s="9"/>
    </row>
    <row r="338" spans="17:17" ht="15.75" customHeight="1">
      <c r="Q338" s="9"/>
    </row>
    <row r="339" spans="17:17" ht="15.75" customHeight="1">
      <c r="Q339" s="9"/>
    </row>
    <row r="340" spans="17:17" ht="15.75" customHeight="1">
      <c r="Q340" s="9"/>
    </row>
    <row r="341" spans="17:17" ht="15.75" customHeight="1">
      <c r="Q341" s="9"/>
    </row>
    <row r="342" spans="17:17" ht="15.75" customHeight="1">
      <c r="Q342" s="9"/>
    </row>
    <row r="343" spans="17:17" ht="15.75" customHeight="1">
      <c r="Q343" s="9"/>
    </row>
    <row r="344" spans="17:17" ht="15.75" customHeight="1">
      <c r="Q344" s="9"/>
    </row>
    <row r="345" spans="17:17" ht="15.75" customHeight="1">
      <c r="Q345" s="9"/>
    </row>
    <row r="346" spans="17:17" ht="15.75" customHeight="1">
      <c r="Q346" s="9"/>
    </row>
    <row r="347" spans="17:17" ht="15.75" customHeight="1">
      <c r="Q347" s="9"/>
    </row>
    <row r="348" spans="17:17" ht="15.75" customHeight="1">
      <c r="Q348" s="9"/>
    </row>
    <row r="349" spans="17:17" ht="15.75" customHeight="1">
      <c r="Q349" s="9"/>
    </row>
    <row r="350" spans="17:17" ht="15.75" customHeight="1">
      <c r="Q350" s="9"/>
    </row>
    <row r="351" spans="17:17" ht="15.75" customHeight="1">
      <c r="Q351" s="9"/>
    </row>
    <row r="352" spans="17:17" ht="15.75" customHeight="1">
      <c r="Q352" s="9"/>
    </row>
    <row r="353" spans="17:17" ht="15.75" customHeight="1">
      <c r="Q353" s="9"/>
    </row>
    <row r="354" spans="17:17" ht="15.75" customHeight="1">
      <c r="Q354" s="9"/>
    </row>
    <row r="355" spans="17:17" ht="15.75" customHeight="1">
      <c r="Q355" s="9"/>
    </row>
    <row r="356" spans="17:17" ht="15.75" customHeight="1">
      <c r="Q356" s="9"/>
    </row>
    <row r="357" spans="17:17" ht="15.75" customHeight="1">
      <c r="Q357" s="9"/>
    </row>
    <row r="358" spans="17:17" ht="15.75" customHeight="1">
      <c r="Q358" s="9"/>
    </row>
    <row r="359" spans="17:17" ht="15.75" customHeight="1">
      <c r="Q359" s="9"/>
    </row>
    <row r="360" spans="17:17" ht="15.75" customHeight="1">
      <c r="Q360" s="9"/>
    </row>
    <row r="361" spans="17:17" ht="15.75" customHeight="1">
      <c r="Q361" s="9"/>
    </row>
    <row r="362" spans="17:17" ht="15.75" customHeight="1">
      <c r="Q362" s="9"/>
    </row>
    <row r="363" spans="17:17" ht="15.75" customHeight="1">
      <c r="Q363" s="9"/>
    </row>
    <row r="364" spans="17:17" ht="15.75" customHeight="1">
      <c r="Q364" s="9"/>
    </row>
    <row r="365" spans="17:17" ht="15.75" customHeight="1">
      <c r="Q365" s="9"/>
    </row>
    <row r="366" spans="17:17" ht="15.75" customHeight="1">
      <c r="Q366" s="9"/>
    </row>
    <row r="367" spans="17:17" ht="15.75" customHeight="1">
      <c r="Q367" s="9"/>
    </row>
    <row r="368" spans="17:17" ht="15.75" customHeight="1">
      <c r="Q368" s="9"/>
    </row>
    <row r="369" spans="17:17" ht="15.75" customHeight="1">
      <c r="Q369" s="9"/>
    </row>
    <row r="370" spans="17:17" ht="15.75" customHeight="1">
      <c r="Q370" s="9"/>
    </row>
    <row r="371" spans="17:17" ht="15.75" customHeight="1">
      <c r="Q371" s="9"/>
    </row>
    <row r="372" spans="17:17" ht="15.75" customHeight="1">
      <c r="Q372" s="9"/>
    </row>
    <row r="373" spans="17:17" ht="15.75" customHeight="1">
      <c r="Q373" s="9"/>
    </row>
    <row r="374" spans="17:17" ht="15.75" customHeight="1">
      <c r="Q374" s="9"/>
    </row>
    <row r="375" spans="17:17" ht="15.75" customHeight="1">
      <c r="Q375" s="9"/>
    </row>
    <row r="376" spans="17:17" ht="15.75" customHeight="1">
      <c r="Q376" s="9"/>
    </row>
    <row r="377" spans="17:17" ht="15.75" customHeight="1">
      <c r="Q377" s="9"/>
    </row>
    <row r="378" spans="17:17" ht="15.75" customHeight="1">
      <c r="Q378" s="9"/>
    </row>
    <row r="379" spans="17:17" ht="15.75" customHeight="1">
      <c r="Q379" s="9"/>
    </row>
    <row r="380" spans="17:17" ht="15.75" customHeight="1">
      <c r="Q380" s="9"/>
    </row>
    <row r="381" spans="17:17" ht="15.75" customHeight="1">
      <c r="Q381" s="9"/>
    </row>
    <row r="382" spans="17:17" ht="15.75" customHeight="1">
      <c r="Q382" s="9"/>
    </row>
    <row r="383" spans="17:17" ht="15.75" customHeight="1">
      <c r="Q383" s="9"/>
    </row>
    <row r="384" spans="17:17" ht="15.75" customHeight="1">
      <c r="Q384" s="9"/>
    </row>
    <row r="385" spans="17:17" ht="15.75" customHeight="1">
      <c r="Q385" s="9"/>
    </row>
    <row r="386" spans="17:17" ht="15.75" customHeight="1">
      <c r="Q386" s="9"/>
    </row>
    <row r="387" spans="17:17" ht="15.75" customHeight="1">
      <c r="Q387" s="9"/>
    </row>
    <row r="388" spans="17:17" ht="15.75" customHeight="1">
      <c r="Q388" s="9"/>
    </row>
    <row r="389" spans="17:17" ht="15.75" customHeight="1">
      <c r="Q389" s="9"/>
    </row>
    <row r="390" spans="17:17" ht="15.75" customHeight="1">
      <c r="Q390" s="9"/>
    </row>
    <row r="391" spans="17:17" ht="15.75" customHeight="1">
      <c r="Q391" s="9"/>
    </row>
    <row r="392" spans="17:17" ht="15.75" customHeight="1">
      <c r="Q392" s="9"/>
    </row>
    <row r="393" spans="17:17" ht="15.75" customHeight="1">
      <c r="Q393" s="9"/>
    </row>
    <row r="394" spans="17:17" ht="15.75" customHeight="1">
      <c r="Q394" s="9"/>
    </row>
    <row r="395" spans="17:17" ht="15.75" customHeight="1">
      <c r="Q395" s="9"/>
    </row>
    <row r="396" spans="17:17" ht="15.75" customHeight="1">
      <c r="Q396" s="9"/>
    </row>
    <row r="397" spans="17:17" ht="15.75" customHeight="1">
      <c r="Q397" s="9"/>
    </row>
    <row r="398" spans="17:17" ht="15.75" customHeight="1">
      <c r="Q398" s="9"/>
    </row>
    <row r="399" spans="17:17" ht="15.75" customHeight="1">
      <c r="Q399" s="9"/>
    </row>
    <row r="400" spans="17:17" ht="15.75" customHeight="1">
      <c r="Q400" s="9"/>
    </row>
    <row r="401" spans="17:17" ht="15.75" customHeight="1">
      <c r="Q401" s="9"/>
    </row>
    <row r="402" spans="17:17" ht="15.75" customHeight="1">
      <c r="Q402" s="9"/>
    </row>
    <row r="403" spans="17:17" ht="15.75" customHeight="1">
      <c r="Q403" s="9"/>
    </row>
    <row r="404" spans="17:17" ht="15.75" customHeight="1">
      <c r="Q404" s="9"/>
    </row>
    <row r="405" spans="17:17" ht="15.75" customHeight="1">
      <c r="Q405" s="9"/>
    </row>
    <row r="406" spans="17:17" ht="15.75" customHeight="1">
      <c r="Q406" s="9"/>
    </row>
    <row r="407" spans="17:17" ht="15.75" customHeight="1">
      <c r="Q407" s="9"/>
    </row>
    <row r="408" spans="17:17" ht="15.75" customHeight="1">
      <c r="Q408" s="9"/>
    </row>
    <row r="409" spans="17:17" ht="15.75" customHeight="1">
      <c r="Q409" s="9"/>
    </row>
    <row r="410" spans="17:17" ht="15.75" customHeight="1">
      <c r="Q410" s="9"/>
    </row>
    <row r="411" spans="17:17" ht="15.75" customHeight="1">
      <c r="Q411" s="9"/>
    </row>
    <row r="412" spans="17:17" ht="15.75" customHeight="1">
      <c r="Q412" s="9"/>
    </row>
    <row r="413" spans="17:17" ht="15.75" customHeight="1">
      <c r="Q413" s="9"/>
    </row>
    <row r="414" spans="17:17" ht="15.75" customHeight="1">
      <c r="Q414" s="9"/>
    </row>
    <row r="415" spans="17:17" ht="15.75" customHeight="1">
      <c r="Q415" s="9"/>
    </row>
    <row r="416" spans="17:17" ht="15.75" customHeight="1">
      <c r="Q416" s="9"/>
    </row>
    <row r="417" spans="17:17" ht="15.75" customHeight="1">
      <c r="Q417" s="9"/>
    </row>
    <row r="418" spans="17:17" ht="15.75" customHeight="1">
      <c r="Q418" s="9"/>
    </row>
    <row r="419" spans="17:17" ht="15.75" customHeight="1">
      <c r="Q419" s="9"/>
    </row>
    <row r="420" spans="17:17" ht="15.75" customHeight="1">
      <c r="Q420" s="9"/>
    </row>
    <row r="421" spans="17:17" ht="15.75" customHeight="1">
      <c r="Q421" s="9"/>
    </row>
    <row r="422" spans="17:17" ht="15.75" customHeight="1">
      <c r="Q422" s="9"/>
    </row>
    <row r="423" spans="17:17" ht="15.75" customHeight="1">
      <c r="Q423" s="9"/>
    </row>
    <row r="424" spans="17:17" ht="15.75" customHeight="1">
      <c r="Q424" s="9"/>
    </row>
    <row r="425" spans="17:17" ht="15.75" customHeight="1">
      <c r="Q425" s="9"/>
    </row>
    <row r="426" spans="17:17" ht="15.75" customHeight="1">
      <c r="Q426" s="9"/>
    </row>
    <row r="427" spans="17:17" ht="15.75" customHeight="1">
      <c r="Q427" s="9"/>
    </row>
    <row r="428" spans="17:17" ht="15.75" customHeight="1">
      <c r="Q428" s="9"/>
    </row>
    <row r="429" spans="17:17" ht="15.75" customHeight="1">
      <c r="Q429" s="9"/>
    </row>
    <row r="430" spans="17:17" ht="15.75" customHeight="1">
      <c r="Q430" s="9"/>
    </row>
    <row r="431" spans="17:17" ht="15.75" customHeight="1">
      <c r="Q431" s="9"/>
    </row>
    <row r="432" spans="17:17" ht="15.75" customHeight="1">
      <c r="Q432" s="9"/>
    </row>
    <row r="433" spans="17:17" ht="15.75" customHeight="1">
      <c r="Q433" s="9"/>
    </row>
    <row r="434" spans="17:17" ht="15.75" customHeight="1">
      <c r="Q434" s="9"/>
    </row>
    <row r="435" spans="17:17" ht="15.75" customHeight="1">
      <c r="Q435" s="9"/>
    </row>
    <row r="436" spans="17:17" ht="15.75" customHeight="1">
      <c r="Q436" s="9"/>
    </row>
    <row r="437" spans="17:17" ht="15.75" customHeight="1">
      <c r="Q437" s="9"/>
    </row>
    <row r="438" spans="17:17" ht="15.75" customHeight="1">
      <c r="Q438" s="9"/>
    </row>
    <row r="439" spans="17:17" ht="15.75" customHeight="1">
      <c r="Q439" s="9"/>
    </row>
    <row r="440" spans="17:17" ht="15.75" customHeight="1">
      <c r="Q440" s="9"/>
    </row>
    <row r="441" spans="17:17" ht="15.75" customHeight="1">
      <c r="Q441" s="9"/>
    </row>
    <row r="442" spans="17:17" ht="15.75" customHeight="1">
      <c r="Q442" s="9"/>
    </row>
    <row r="443" spans="17:17" ht="15.75" customHeight="1">
      <c r="Q443" s="9"/>
    </row>
    <row r="444" spans="17:17" ht="15.75" customHeight="1">
      <c r="Q444" s="9"/>
    </row>
    <row r="445" spans="17:17" ht="15.75" customHeight="1">
      <c r="Q445" s="9"/>
    </row>
    <row r="446" spans="17:17" ht="15.75" customHeight="1">
      <c r="Q446" s="9"/>
    </row>
    <row r="447" spans="17:17" ht="15.75" customHeight="1">
      <c r="Q447" s="9"/>
    </row>
    <row r="448" spans="17:17" ht="15.75" customHeight="1">
      <c r="Q448" s="9"/>
    </row>
    <row r="449" spans="17:17" ht="15.75" customHeight="1">
      <c r="Q449" s="9"/>
    </row>
    <row r="450" spans="17:17" ht="15.75" customHeight="1">
      <c r="Q450" s="9"/>
    </row>
    <row r="451" spans="17:17" ht="15.75" customHeight="1">
      <c r="Q451" s="9"/>
    </row>
    <row r="452" spans="17:17" ht="15.75" customHeight="1">
      <c r="Q452" s="9"/>
    </row>
    <row r="453" spans="17:17" ht="15.75" customHeight="1">
      <c r="Q453" s="9"/>
    </row>
    <row r="454" spans="17:17" ht="15.75" customHeight="1">
      <c r="Q454" s="9"/>
    </row>
    <row r="455" spans="17:17" ht="15.75" customHeight="1">
      <c r="Q455" s="9"/>
    </row>
    <row r="456" spans="17:17" ht="15.75" customHeight="1">
      <c r="Q456" s="9"/>
    </row>
    <row r="457" spans="17:17" ht="15.75" customHeight="1">
      <c r="Q457" s="9"/>
    </row>
    <row r="458" spans="17:17" ht="15.75" customHeight="1">
      <c r="Q458" s="9"/>
    </row>
    <row r="459" spans="17:17" ht="15.75" customHeight="1">
      <c r="Q459" s="9"/>
    </row>
    <row r="460" spans="17:17" ht="15.75" customHeight="1">
      <c r="Q460" s="9"/>
    </row>
    <row r="461" spans="17:17" ht="15.75" customHeight="1">
      <c r="Q461" s="9"/>
    </row>
    <row r="462" spans="17:17" ht="15.75" customHeight="1">
      <c r="Q462" s="9"/>
    </row>
    <row r="463" spans="17:17" ht="15.75" customHeight="1">
      <c r="Q463" s="9"/>
    </row>
    <row r="464" spans="17:17" ht="15.75" customHeight="1">
      <c r="Q464" s="9"/>
    </row>
    <row r="465" spans="17:17" ht="15.75" customHeight="1">
      <c r="Q465" s="9"/>
    </row>
    <row r="466" spans="17:17" ht="15.75" customHeight="1">
      <c r="Q466" s="9"/>
    </row>
    <row r="467" spans="17:17" ht="15.75" customHeight="1">
      <c r="Q467" s="9"/>
    </row>
    <row r="468" spans="17:17" ht="15.75" customHeight="1">
      <c r="Q468" s="9"/>
    </row>
    <row r="469" spans="17:17" ht="15.75" customHeight="1">
      <c r="Q469" s="9"/>
    </row>
    <row r="470" spans="17:17" ht="15.75" customHeight="1">
      <c r="Q470" s="9"/>
    </row>
    <row r="471" spans="17:17" ht="15.75" customHeight="1">
      <c r="Q471" s="9"/>
    </row>
    <row r="472" spans="17:17" ht="15.75" customHeight="1">
      <c r="Q472" s="9"/>
    </row>
    <row r="473" spans="17:17" ht="15.75" customHeight="1">
      <c r="Q473" s="9"/>
    </row>
    <row r="474" spans="17:17" ht="15.75" customHeight="1">
      <c r="Q474" s="9"/>
    </row>
    <row r="475" spans="17:17" ht="15.75" customHeight="1">
      <c r="Q475" s="9"/>
    </row>
    <row r="476" spans="17:17" ht="15.75" customHeight="1">
      <c r="Q476" s="9"/>
    </row>
    <row r="477" spans="17:17" ht="15.75" customHeight="1">
      <c r="Q477" s="9"/>
    </row>
    <row r="478" spans="17:17" ht="15.75" customHeight="1">
      <c r="Q478" s="9"/>
    </row>
    <row r="479" spans="17:17" ht="15.75" customHeight="1">
      <c r="Q479" s="9"/>
    </row>
    <row r="480" spans="17:17" ht="15.75" customHeight="1">
      <c r="Q480" s="9"/>
    </row>
    <row r="481" spans="17:17" ht="15.75" customHeight="1">
      <c r="Q481" s="9"/>
    </row>
    <row r="482" spans="17:17" ht="15.75" customHeight="1">
      <c r="Q482" s="9"/>
    </row>
    <row r="483" spans="17:17" ht="15.75" customHeight="1">
      <c r="Q483" s="9"/>
    </row>
    <row r="484" spans="17:17" ht="15.75" customHeight="1">
      <c r="Q484" s="9"/>
    </row>
    <row r="485" spans="17:17" ht="15.75" customHeight="1">
      <c r="Q485" s="9"/>
    </row>
    <row r="486" spans="17:17" ht="15.75" customHeight="1">
      <c r="Q486" s="9"/>
    </row>
    <row r="487" spans="17:17" ht="15.75" customHeight="1">
      <c r="Q487" s="9"/>
    </row>
    <row r="488" spans="17:17" ht="15.75" customHeight="1">
      <c r="Q488" s="9"/>
    </row>
    <row r="489" spans="17:17" ht="15.75" customHeight="1">
      <c r="Q489" s="9"/>
    </row>
    <row r="490" spans="17:17" ht="15.75" customHeight="1">
      <c r="Q490" s="9"/>
    </row>
    <row r="491" spans="17:17" ht="15.75" customHeight="1">
      <c r="Q491" s="9"/>
    </row>
    <row r="492" spans="17:17" ht="15.75" customHeight="1">
      <c r="Q492" s="9"/>
    </row>
    <row r="493" spans="17:17" ht="15.75" customHeight="1">
      <c r="Q493" s="9"/>
    </row>
    <row r="494" spans="17:17" ht="15.75" customHeight="1">
      <c r="Q494" s="9"/>
    </row>
    <row r="495" spans="17:17" ht="15.75" customHeight="1">
      <c r="Q495" s="9"/>
    </row>
    <row r="496" spans="17:17" ht="15.75" customHeight="1">
      <c r="Q496" s="9"/>
    </row>
    <row r="497" spans="17:17" ht="15.75" customHeight="1">
      <c r="Q497" s="9"/>
    </row>
    <row r="498" spans="17:17" ht="15.75" customHeight="1">
      <c r="Q498" s="9"/>
    </row>
    <row r="499" spans="17:17" ht="15.75" customHeight="1">
      <c r="Q499" s="9"/>
    </row>
    <row r="500" spans="17:17" ht="15.75" customHeight="1">
      <c r="Q500" s="9"/>
    </row>
    <row r="501" spans="17:17" ht="15.75" customHeight="1">
      <c r="Q501" s="9"/>
    </row>
    <row r="502" spans="17:17" ht="15.75" customHeight="1">
      <c r="Q502" s="9"/>
    </row>
    <row r="503" spans="17:17" ht="15.75" customHeight="1">
      <c r="Q503" s="9"/>
    </row>
    <row r="504" spans="17:17" ht="15.75" customHeight="1">
      <c r="Q504" s="9"/>
    </row>
    <row r="505" spans="17:17" ht="15.75" customHeight="1">
      <c r="Q505" s="9"/>
    </row>
    <row r="506" spans="17:17" ht="15.75" customHeight="1">
      <c r="Q506" s="9"/>
    </row>
    <row r="507" spans="17:17" ht="15.75" customHeight="1">
      <c r="Q507" s="9"/>
    </row>
    <row r="508" spans="17:17" ht="15.75" customHeight="1">
      <c r="Q508" s="9"/>
    </row>
    <row r="509" spans="17:17" ht="15.75" customHeight="1">
      <c r="Q509" s="9"/>
    </row>
    <row r="510" spans="17:17" ht="15.75" customHeight="1">
      <c r="Q510" s="9"/>
    </row>
    <row r="511" spans="17:17" ht="15.75" customHeight="1">
      <c r="Q511" s="9"/>
    </row>
    <row r="512" spans="17:17" ht="15.75" customHeight="1">
      <c r="Q512" s="9"/>
    </row>
    <row r="513" spans="17:17" ht="15.75" customHeight="1">
      <c r="Q513" s="9"/>
    </row>
    <row r="514" spans="17:17" ht="15.75" customHeight="1">
      <c r="Q514" s="9"/>
    </row>
    <row r="515" spans="17:17" ht="15.75" customHeight="1">
      <c r="Q515" s="9"/>
    </row>
    <row r="516" spans="17:17" ht="15.75" customHeight="1">
      <c r="Q516" s="9"/>
    </row>
    <row r="517" spans="17:17" ht="15.75" customHeight="1">
      <c r="Q517" s="9"/>
    </row>
    <row r="518" spans="17:17" ht="15.75" customHeight="1">
      <c r="Q518" s="9"/>
    </row>
    <row r="519" spans="17:17" ht="15.75" customHeight="1">
      <c r="Q519" s="9"/>
    </row>
    <row r="520" spans="17:17" ht="15.75" customHeight="1">
      <c r="Q520" s="9"/>
    </row>
    <row r="521" spans="17:17" ht="15.75" customHeight="1">
      <c r="Q521" s="9"/>
    </row>
    <row r="522" spans="17:17" ht="15.75" customHeight="1">
      <c r="Q522" s="9"/>
    </row>
    <row r="523" spans="17:17" ht="15.75" customHeight="1">
      <c r="Q523" s="9"/>
    </row>
    <row r="524" spans="17:17" ht="15.75" customHeight="1">
      <c r="Q524" s="9"/>
    </row>
    <row r="525" spans="17:17" ht="15.75" customHeight="1">
      <c r="Q525" s="9"/>
    </row>
    <row r="526" spans="17:17" ht="15.75" customHeight="1">
      <c r="Q526" s="9"/>
    </row>
    <row r="527" spans="17:17" ht="15.75" customHeight="1">
      <c r="Q527" s="9"/>
    </row>
    <row r="528" spans="17:17" ht="15.75" customHeight="1">
      <c r="Q528" s="9"/>
    </row>
    <row r="529" spans="17:17" ht="15.75" customHeight="1">
      <c r="Q529" s="9"/>
    </row>
    <row r="530" spans="17:17" ht="15.75" customHeight="1">
      <c r="Q530" s="9"/>
    </row>
    <row r="531" spans="17:17" ht="15.75" customHeight="1">
      <c r="Q531" s="9"/>
    </row>
    <row r="532" spans="17:17" ht="15.75" customHeight="1">
      <c r="Q532" s="9"/>
    </row>
    <row r="533" spans="17:17" ht="15.75" customHeight="1">
      <c r="Q533" s="9"/>
    </row>
    <row r="534" spans="17:17" ht="15.75" customHeight="1">
      <c r="Q534" s="9"/>
    </row>
    <row r="535" spans="17:17" ht="15.75" customHeight="1">
      <c r="Q535" s="9"/>
    </row>
    <row r="536" spans="17:17" ht="15.75" customHeight="1">
      <c r="Q536" s="9"/>
    </row>
    <row r="537" spans="17:17" ht="15.75" customHeight="1">
      <c r="Q537" s="9"/>
    </row>
    <row r="538" spans="17:17" ht="15.75" customHeight="1">
      <c r="Q538" s="9"/>
    </row>
    <row r="539" spans="17:17" ht="15.75" customHeight="1">
      <c r="Q539" s="9"/>
    </row>
    <row r="540" spans="17:17" ht="15.75" customHeight="1">
      <c r="Q540" s="9"/>
    </row>
    <row r="541" spans="17:17" ht="15.75" customHeight="1">
      <c r="Q541" s="9"/>
    </row>
    <row r="542" spans="17:17" ht="15.75" customHeight="1">
      <c r="Q542" s="9"/>
    </row>
    <row r="543" spans="17:17" ht="15.75" customHeight="1">
      <c r="Q543" s="9"/>
    </row>
    <row r="544" spans="17:17" ht="15.75" customHeight="1">
      <c r="Q544" s="9"/>
    </row>
    <row r="545" spans="17:17" ht="15.75" customHeight="1">
      <c r="Q545" s="9"/>
    </row>
    <row r="546" spans="17:17" ht="15.75" customHeight="1">
      <c r="Q546" s="9"/>
    </row>
    <row r="547" spans="17:17" ht="15.75" customHeight="1">
      <c r="Q547" s="9"/>
    </row>
    <row r="548" spans="17:17" ht="15.75" customHeight="1">
      <c r="Q548" s="9"/>
    </row>
    <row r="549" spans="17:17" ht="15.75" customHeight="1">
      <c r="Q549" s="9"/>
    </row>
    <row r="550" spans="17:17" ht="15.75" customHeight="1">
      <c r="Q550" s="9"/>
    </row>
    <row r="551" spans="17:17" ht="15.75" customHeight="1">
      <c r="Q551" s="9"/>
    </row>
    <row r="552" spans="17:17" ht="15.75" customHeight="1">
      <c r="Q552" s="9"/>
    </row>
    <row r="553" spans="17:17" ht="15.75" customHeight="1">
      <c r="Q553" s="9"/>
    </row>
    <row r="554" spans="17:17" ht="15.75" customHeight="1">
      <c r="Q554" s="9"/>
    </row>
    <row r="555" spans="17:17" ht="15.75" customHeight="1">
      <c r="Q555" s="9"/>
    </row>
    <row r="556" spans="17:17" ht="15.75" customHeight="1">
      <c r="Q556" s="9"/>
    </row>
    <row r="557" spans="17:17" ht="15.75" customHeight="1">
      <c r="Q557" s="9"/>
    </row>
    <row r="558" spans="17:17" ht="15.75" customHeight="1">
      <c r="Q558" s="9"/>
    </row>
    <row r="559" spans="17:17" ht="15.75" customHeight="1">
      <c r="Q559" s="9"/>
    </row>
    <row r="560" spans="17:17" ht="15.75" customHeight="1">
      <c r="Q560" s="9"/>
    </row>
    <row r="561" spans="17:17" ht="15.75" customHeight="1">
      <c r="Q561" s="9"/>
    </row>
    <row r="562" spans="17:17" ht="15.75" customHeight="1">
      <c r="Q562" s="9"/>
    </row>
    <row r="563" spans="17:17" ht="15.75" customHeight="1">
      <c r="Q563" s="9"/>
    </row>
    <row r="564" spans="17:17" ht="15.75" customHeight="1">
      <c r="Q564" s="9"/>
    </row>
    <row r="565" spans="17:17" ht="15.75" customHeight="1">
      <c r="Q565" s="9"/>
    </row>
    <row r="566" spans="17:17" ht="15.75" customHeight="1">
      <c r="Q566" s="9"/>
    </row>
    <row r="567" spans="17:17" ht="15.75" customHeight="1">
      <c r="Q567" s="9"/>
    </row>
    <row r="568" spans="17:17" ht="15.75" customHeight="1">
      <c r="Q568" s="9"/>
    </row>
    <row r="569" spans="17:17" ht="15.75" customHeight="1">
      <c r="Q569" s="9"/>
    </row>
    <row r="570" spans="17:17" ht="15.75" customHeight="1">
      <c r="Q570" s="9"/>
    </row>
    <row r="571" spans="17:17" ht="15.75" customHeight="1">
      <c r="Q571" s="9"/>
    </row>
    <row r="572" spans="17:17" ht="15.75" customHeight="1">
      <c r="Q572" s="9"/>
    </row>
    <row r="573" spans="17:17" ht="15.75" customHeight="1">
      <c r="Q573" s="9"/>
    </row>
    <row r="574" spans="17:17" ht="15.75" customHeight="1">
      <c r="Q574" s="9"/>
    </row>
    <row r="575" spans="17:17" ht="15.75" customHeight="1">
      <c r="Q575" s="9"/>
    </row>
    <row r="576" spans="17:17" ht="15.75" customHeight="1">
      <c r="Q576" s="9"/>
    </row>
    <row r="577" spans="17:17" ht="15.75" customHeight="1">
      <c r="Q577" s="9"/>
    </row>
    <row r="578" spans="17:17" ht="15.75" customHeight="1">
      <c r="Q578" s="9"/>
    </row>
    <row r="579" spans="17:17" ht="15.75" customHeight="1">
      <c r="Q579" s="9"/>
    </row>
    <row r="580" spans="17:17" ht="15.75" customHeight="1">
      <c r="Q580" s="9"/>
    </row>
    <row r="581" spans="17:17" ht="15.75" customHeight="1">
      <c r="Q581" s="9"/>
    </row>
    <row r="582" spans="17:17" ht="15.75" customHeight="1">
      <c r="Q582" s="9"/>
    </row>
    <row r="583" spans="17:17" ht="15.75" customHeight="1">
      <c r="Q583" s="9"/>
    </row>
    <row r="584" spans="17:17" ht="15.75" customHeight="1">
      <c r="Q584" s="9"/>
    </row>
    <row r="585" spans="17:17" ht="15.75" customHeight="1">
      <c r="Q585" s="9"/>
    </row>
    <row r="586" spans="17:17" ht="15.75" customHeight="1">
      <c r="Q586" s="9"/>
    </row>
    <row r="587" spans="17:17" ht="15.75" customHeight="1">
      <c r="Q587" s="9"/>
    </row>
    <row r="588" spans="17:17" ht="15.75" customHeight="1">
      <c r="Q588" s="9"/>
    </row>
    <row r="589" spans="17:17" ht="15.75" customHeight="1">
      <c r="Q589" s="9"/>
    </row>
    <row r="590" spans="17:17" ht="15.75" customHeight="1">
      <c r="Q590" s="9"/>
    </row>
    <row r="591" spans="17:17" ht="15.75" customHeight="1">
      <c r="Q591" s="9"/>
    </row>
    <row r="592" spans="17:17" ht="15.75" customHeight="1">
      <c r="Q592" s="9"/>
    </row>
    <row r="593" spans="17:17" ht="15.75" customHeight="1">
      <c r="Q593" s="9"/>
    </row>
    <row r="594" spans="17:17" ht="15.75" customHeight="1">
      <c r="Q594" s="9"/>
    </row>
    <row r="595" spans="17:17" ht="15.75" customHeight="1">
      <c r="Q595" s="9"/>
    </row>
    <row r="596" spans="17:17" ht="15.75" customHeight="1">
      <c r="Q596" s="9"/>
    </row>
    <row r="597" spans="17:17" ht="15.75" customHeight="1">
      <c r="Q597" s="9"/>
    </row>
    <row r="598" spans="17:17" ht="15.75" customHeight="1">
      <c r="Q598" s="9"/>
    </row>
    <row r="599" spans="17:17" ht="15.75" customHeight="1">
      <c r="Q599" s="9"/>
    </row>
    <row r="600" spans="17:17" ht="15.75" customHeight="1">
      <c r="Q600" s="9"/>
    </row>
    <row r="601" spans="17:17" ht="15.75" customHeight="1">
      <c r="Q601" s="9"/>
    </row>
    <row r="602" spans="17:17" ht="15.75" customHeight="1">
      <c r="Q602" s="9"/>
    </row>
    <row r="603" spans="17:17" ht="15.75" customHeight="1">
      <c r="Q603" s="9"/>
    </row>
    <row r="604" spans="17:17" ht="15.75" customHeight="1">
      <c r="Q604" s="9"/>
    </row>
    <row r="605" spans="17:17" ht="15.75" customHeight="1">
      <c r="Q605" s="9"/>
    </row>
    <row r="606" spans="17:17" ht="15.75" customHeight="1">
      <c r="Q606" s="9"/>
    </row>
    <row r="607" spans="17:17" ht="15.75" customHeight="1">
      <c r="Q607" s="9"/>
    </row>
    <row r="608" spans="17:17" ht="15.75" customHeight="1">
      <c r="Q608" s="9"/>
    </row>
    <row r="609" spans="17:17" ht="15.75" customHeight="1">
      <c r="Q609" s="9"/>
    </row>
    <row r="610" spans="17:17" ht="15.75" customHeight="1">
      <c r="Q610" s="9"/>
    </row>
    <row r="611" spans="17:17" ht="15.75" customHeight="1">
      <c r="Q611" s="9"/>
    </row>
    <row r="612" spans="17:17" ht="15.75" customHeight="1">
      <c r="Q612" s="9"/>
    </row>
    <row r="613" spans="17:17" ht="15.75" customHeight="1">
      <c r="Q613" s="9"/>
    </row>
    <row r="614" spans="17:17" ht="15.75" customHeight="1">
      <c r="Q614" s="9"/>
    </row>
    <row r="615" spans="17:17" ht="15.75" customHeight="1">
      <c r="Q615" s="9"/>
    </row>
    <row r="616" spans="17:17" ht="15.75" customHeight="1">
      <c r="Q616" s="9"/>
    </row>
    <row r="617" spans="17:17" ht="15.75" customHeight="1">
      <c r="Q617" s="9"/>
    </row>
    <row r="618" spans="17:17" ht="15.75" customHeight="1">
      <c r="Q618" s="9"/>
    </row>
    <row r="619" spans="17:17" ht="15.75" customHeight="1">
      <c r="Q619" s="9"/>
    </row>
    <row r="620" spans="17:17" ht="15.75" customHeight="1">
      <c r="Q620" s="9"/>
    </row>
    <row r="621" spans="17:17" ht="15.75" customHeight="1">
      <c r="Q621" s="9"/>
    </row>
    <row r="622" spans="17:17" ht="15.75" customHeight="1">
      <c r="Q622" s="9"/>
    </row>
    <row r="623" spans="17:17" ht="15.75" customHeight="1">
      <c r="Q623" s="9"/>
    </row>
    <row r="624" spans="17:17" ht="15.75" customHeight="1">
      <c r="Q624" s="9"/>
    </row>
    <row r="625" spans="17:17" ht="15.75" customHeight="1">
      <c r="Q625" s="9"/>
    </row>
    <row r="626" spans="17:17" ht="15.75" customHeight="1">
      <c r="Q626" s="9"/>
    </row>
    <row r="627" spans="17:17" ht="15.75" customHeight="1">
      <c r="Q627" s="9"/>
    </row>
    <row r="628" spans="17:17" ht="15.75" customHeight="1">
      <c r="Q628" s="9"/>
    </row>
    <row r="629" spans="17:17" ht="15.75" customHeight="1">
      <c r="Q629" s="9"/>
    </row>
    <row r="630" spans="17:17" ht="15.75" customHeight="1">
      <c r="Q630" s="9"/>
    </row>
    <row r="631" spans="17:17" ht="15.75" customHeight="1">
      <c r="Q631" s="9"/>
    </row>
    <row r="632" spans="17:17" ht="15.75" customHeight="1">
      <c r="Q632" s="9"/>
    </row>
    <row r="633" spans="17:17" ht="15.75" customHeight="1">
      <c r="Q633" s="9"/>
    </row>
    <row r="634" spans="17:17" ht="15.75" customHeight="1">
      <c r="Q634" s="9"/>
    </row>
    <row r="635" spans="17:17" ht="15.75" customHeight="1">
      <c r="Q635" s="9"/>
    </row>
    <row r="636" spans="17:17" ht="15.75" customHeight="1">
      <c r="Q636" s="9"/>
    </row>
    <row r="637" spans="17:17" ht="15.75" customHeight="1">
      <c r="Q637" s="9"/>
    </row>
    <row r="638" spans="17:17" ht="15.75" customHeight="1">
      <c r="Q638" s="9"/>
    </row>
    <row r="639" spans="17:17" ht="15.75" customHeight="1">
      <c r="Q639" s="9"/>
    </row>
    <row r="640" spans="17:17" ht="15.75" customHeight="1">
      <c r="Q640" s="9"/>
    </row>
    <row r="641" spans="17:17" ht="15.75" customHeight="1">
      <c r="Q641" s="9"/>
    </row>
    <row r="642" spans="17:17" ht="15.75" customHeight="1">
      <c r="Q642" s="9"/>
    </row>
    <row r="643" spans="17:17" ht="15.75" customHeight="1">
      <c r="Q643" s="9"/>
    </row>
    <row r="644" spans="17:17" ht="15.75" customHeight="1">
      <c r="Q644" s="9"/>
    </row>
    <row r="645" spans="17:17" ht="15.75" customHeight="1">
      <c r="Q645" s="9"/>
    </row>
    <row r="646" spans="17:17" ht="15.75" customHeight="1">
      <c r="Q646" s="9"/>
    </row>
    <row r="647" spans="17:17" ht="15.75" customHeight="1">
      <c r="Q647" s="9"/>
    </row>
    <row r="648" spans="17:17" ht="15.75" customHeight="1">
      <c r="Q648" s="9"/>
    </row>
    <row r="649" spans="17:17" ht="15.75" customHeight="1">
      <c r="Q649" s="9"/>
    </row>
    <row r="650" spans="17:17" ht="15.75" customHeight="1">
      <c r="Q650" s="9"/>
    </row>
    <row r="651" spans="17:17" ht="15.75" customHeight="1">
      <c r="Q651" s="9"/>
    </row>
    <row r="652" spans="17:17" ht="15.75" customHeight="1">
      <c r="Q652" s="9"/>
    </row>
    <row r="653" spans="17:17" ht="15.75" customHeight="1">
      <c r="Q653" s="9"/>
    </row>
    <row r="654" spans="17:17" ht="15.75" customHeight="1">
      <c r="Q654" s="9"/>
    </row>
    <row r="655" spans="17:17" ht="15.75" customHeight="1">
      <c r="Q655" s="9"/>
    </row>
    <row r="656" spans="17:17" ht="15.75" customHeight="1">
      <c r="Q656" s="9"/>
    </row>
    <row r="657" spans="17:17" ht="15.75" customHeight="1">
      <c r="Q657" s="9"/>
    </row>
    <row r="658" spans="17:17" ht="15.75" customHeight="1">
      <c r="Q658" s="9"/>
    </row>
    <row r="659" spans="17:17" ht="15.75" customHeight="1">
      <c r="Q659" s="9"/>
    </row>
    <row r="660" spans="17:17" ht="15.75" customHeight="1">
      <c r="Q660" s="9"/>
    </row>
    <row r="661" spans="17:17" ht="15.75" customHeight="1">
      <c r="Q661" s="9"/>
    </row>
    <row r="662" spans="17:17" ht="15.75" customHeight="1">
      <c r="Q662" s="9"/>
    </row>
    <row r="663" spans="17:17" ht="15.75" customHeight="1">
      <c r="Q663" s="9"/>
    </row>
    <row r="664" spans="17:17" ht="15.75" customHeight="1">
      <c r="Q664" s="9"/>
    </row>
    <row r="665" spans="17:17" ht="15.75" customHeight="1">
      <c r="Q665" s="9"/>
    </row>
    <row r="666" spans="17:17" ht="15.75" customHeight="1">
      <c r="Q666" s="9"/>
    </row>
    <row r="667" spans="17:17" ht="15.75" customHeight="1">
      <c r="Q667" s="9"/>
    </row>
    <row r="668" spans="17:17" ht="15.75" customHeight="1">
      <c r="Q668" s="9"/>
    </row>
    <row r="669" spans="17:17" ht="15.75" customHeight="1">
      <c r="Q669" s="9"/>
    </row>
    <row r="670" spans="17:17" ht="15.75" customHeight="1">
      <c r="Q670" s="9"/>
    </row>
    <row r="671" spans="17:17" ht="15.75" customHeight="1">
      <c r="Q671" s="9"/>
    </row>
    <row r="672" spans="17:17" ht="15.75" customHeight="1">
      <c r="Q672" s="9"/>
    </row>
    <row r="673" spans="17:17" ht="15.75" customHeight="1">
      <c r="Q673" s="9"/>
    </row>
    <row r="674" spans="17:17" ht="15.75" customHeight="1">
      <c r="Q674" s="9"/>
    </row>
    <row r="675" spans="17:17" ht="15.75" customHeight="1">
      <c r="Q675" s="9"/>
    </row>
    <row r="676" spans="17:17" ht="15.75" customHeight="1">
      <c r="Q676" s="9"/>
    </row>
    <row r="677" spans="17:17" ht="15.75" customHeight="1">
      <c r="Q677" s="9"/>
    </row>
    <row r="678" spans="17:17" ht="15.75" customHeight="1">
      <c r="Q678" s="9"/>
    </row>
    <row r="679" spans="17:17" ht="15.75" customHeight="1">
      <c r="Q679" s="9"/>
    </row>
    <row r="680" spans="17:17" ht="15.75" customHeight="1">
      <c r="Q680" s="9"/>
    </row>
    <row r="681" spans="17:17" ht="15.75" customHeight="1">
      <c r="Q681" s="9"/>
    </row>
    <row r="682" spans="17:17" ht="15.75" customHeight="1">
      <c r="Q682" s="9"/>
    </row>
    <row r="683" spans="17:17" ht="15.75" customHeight="1">
      <c r="Q683" s="9"/>
    </row>
    <row r="684" spans="17:17" ht="15.75" customHeight="1">
      <c r="Q684" s="9"/>
    </row>
    <row r="685" spans="17:17" ht="15.75" customHeight="1">
      <c r="Q685" s="9"/>
    </row>
    <row r="686" spans="17:17" ht="15.75" customHeight="1">
      <c r="Q686" s="9"/>
    </row>
    <row r="687" spans="17:17" ht="15.75" customHeight="1">
      <c r="Q687" s="9"/>
    </row>
    <row r="688" spans="17:17" ht="15.75" customHeight="1">
      <c r="Q688" s="9"/>
    </row>
    <row r="689" spans="17:17" ht="15.75" customHeight="1">
      <c r="Q689" s="9"/>
    </row>
    <row r="690" spans="17:17" ht="15.75" customHeight="1">
      <c r="Q690" s="9"/>
    </row>
    <row r="691" spans="17:17" ht="15.75" customHeight="1">
      <c r="Q691" s="9"/>
    </row>
    <row r="692" spans="17:17" ht="15.75" customHeight="1">
      <c r="Q692" s="9"/>
    </row>
    <row r="693" spans="17:17" ht="15.75" customHeight="1">
      <c r="Q693" s="9"/>
    </row>
    <row r="694" spans="17:17" ht="15.75" customHeight="1">
      <c r="Q694" s="9"/>
    </row>
    <row r="695" spans="17:17" ht="15.75" customHeight="1">
      <c r="Q695" s="9"/>
    </row>
    <row r="696" spans="17:17" ht="15.75" customHeight="1">
      <c r="Q696" s="9"/>
    </row>
    <row r="697" spans="17:17" ht="15.75" customHeight="1">
      <c r="Q697" s="9"/>
    </row>
    <row r="698" spans="17:17" ht="15.75" customHeight="1">
      <c r="Q698" s="9"/>
    </row>
    <row r="699" spans="17:17" ht="15.75" customHeight="1">
      <c r="Q699" s="9"/>
    </row>
    <row r="700" spans="17:17" ht="15.75" customHeight="1">
      <c r="Q700" s="9"/>
    </row>
    <row r="701" spans="17:17" ht="15.75" customHeight="1">
      <c r="Q701" s="9"/>
    </row>
    <row r="702" spans="17:17" ht="15.75" customHeight="1">
      <c r="Q702" s="9"/>
    </row>
    <row r="703" spans="17:17" ht="15.75" customHeight="1">
      <c r="Q703" s="9"/>
    </row>
    <row r="704" spans="17:17" ht="15.75" customHeight="1">
      <c r="Q704" s="9"/>
    </row>
    <row r="705" spans="17:17" ht="15.75" customHeight="1">
      <c r="Q705" s="9"/>
    </row>
    <row r="706" spans="17:17" ht="15.75" customHeight="1">
      <c r="Q706" s="9"/>
    </row>
    <row r="707" spans="17:17" ht="15.75" customHeight="1">
      <c r="Q707" s="9"/>
    </row>
    <row r="708" spans="17:17" ht="15.75" customHeight="1">
      <c r="Q708" s="9"/>
    </row>
    <row r="709" spans="17:17" ht="15.75" customHeight="1">
      <c r="Q709" s="9"/>
    </row>
    <row r="710" spans="17:17" ht="15.75" customHeight="1">
      <c r="Q710" s="9"/>
    </row>
    <row r="711" spans="17:17" ht="15.75" customHeight="1">
      <c r="Q711" s="9"/>
    </row>
    <row r="712" spans="17:17" ht="15.75" customHeight="1">
      <c r="Q712" s="9"/>
    </row>
    <row r="713" spans="17:17" ht="15.75" customHeight="1">
      <c r="Q713" s="9"/>
    </row>
    <row r="714" spans="17:17" ht="15.75" customHeight="1">
      <c r="Q714" s="9"/>
    </row>
    <row r="715" spans="17:17" ht="15.75" customHeight="1">
      <c r="Q715" s="9"/>
    </row>
    <row r="716" spans="17:17" ht="15.75" customHeight="1">
      <c r="Q716" s="9"/>
    </row>
    <row r="717" spans="17:17" ht="15.75" customHeight="1">
      <c r="Q717" s="9"/>
    </row>
    <row r="718" spans="17:17" ht="15.75" customHeight="1">
      <c r="Q718" s="9"/>
    </row>
    <row r="719" spans="17:17" ht="15.75" customHeight="1">
      <c r="Q719" s="9"/>
    </row>
    <row r="720" spans="17:17" ht="15.75" customHeight="1">
      <c r="Q720" s="9"/>
    </row>
    <row r="721" spans="17:17" ht="15.75" customHeight="1">
      <c r="Q721" s="9"/>
    </row>
    <row r="722" spans="17:17" ht="15.75" customHeight="1">
      <c r="Q722" s="9"/>
    </row>
    <row r="723" spans="17:17" ht="15.75" customHeight="1">
      <c r="Q723" s="9"/>
    </row>
    <row r="724" spans="17:17" ht="15.75" customHeight="1">
      <c r="Q724" s="9"/>
    </row>
    <row r="725" spans="17:17" ht="15.75" customHeight="1">
      <c r="Q725" s="9"/>
    </row>
    <row r="726" spans="17:17" ht="15.75" customHeight="1">
      <c r="Q726" s="9"/>
    </row>
    <row r="727" spans="17:17" ht="15.75" customHeight="1">
      <c r="Q727" s="9"/>
    </row>
    <row r="728" spans="17:17" ht="15.75" customHeight="1">
      <c r="Q728" s="9"/>
    </row>
    <row r="729" spans="17:17" ht="15.75" customHeight="1">
      <c r="Q729" s="9"/>
    </row>
    <row r="730" spans="17:17" ht="15.75" customHeight="1">
      <c r="Q730" s="9"/>
    </row>
    <row r="731" spans="17:17" ht="15.75" customHeight="1">
      <c r="Q731" s="9"/>
    </row>
    <row r="732" spans="17:17" ht="15.75" customHeight="1">
      <c r="Q732" s="9"/>
    </row>
    <row r="733" spans="17:17" ht="15.75" customHeight="1">
      <c r="Q733" s="9"/>
    </row>
    <row r="734" spans="17:17" ht="15.75" customHeight="1">
      <c r="Q734" s="9"/>
    </row>
    <row r="735" spans="17:17" ht="15.75" customHeight="1">
      <c r="Q735" s="9"/>
    </row>
    <row r="736" spans="17:17" ht="15.75" customHeight="1">
      <c r="Q736" s="9"/>
    </row>
    <row r="737" spans="17:17" ht="15.75" customHeight="1">
      <c r="Q737" s="9"/>
    </row>
    <row r="738" spans="17:17" ht="15.75" customHeight="1">
      <c r="Q738" s="9"/>
    </row>
    <row r="739" spans="17:17" ht="15.75" customHeight="1">
      <c r="Q739" s="9"/>
    </row>
    <row r="740" spans="17:17" ht="15.75" customHeight="1">
      <c r="Q740" s="9"/>
    </row>
    <row r="741" spans="17:17" ht="15.75" customHeight="1">
      <c r="Q741" s="9"/>
    </row>
    <row r="742" spans="17:17" ht="15.75" customHeight="1">
      <c r="Q742" s="9"/>
    </row>
    <row r="743" spans="17:17" ht="15.75" customHeight="1">
      <c r="Q743" s="9"/>
    </row>
    <row r="744" spans="17:17" ht="15.75" customHeight="1">
      <c r="Q744" s="9"/>
    </row>
    <row r="745" spans="17:17" ht="15.75" customHeight="1">
      <c r="Q745" s="9"/>
    </row>
    <row r="746" spans="17:17" ht="15.75" customHeight="1">
      <c r="Q746" s="9"/>
    </row>
    <row r="747" spans="17:17" ht="15.75" customHeight="1">
      <c r="Q747" s="9"/>
    </row>
    <row r="748" spans="17:17" ht="15.75" customHeight="1">
      <c r="Q748" s="9"/>
    </row>
    <row r="749" spans="17:17" ht="15.75" customHeight="1">
      <c r="Q749" s="9"/>
    </row>
    <row r="750" spans="17:17" ht="15.75" customHeight="1">
      <c r="Q750" s="9"/>
    </row>
    <row r="751" spans="17:17" ht="15.75" customHeight="1">
      <c r="Q751" s="9"/>
    </row>
    <row r="752" spans="17:17" ht="15.75" customHeight="1">
      <c r="Q752" s="9"/>
    </row>
    <row r="753" spans="17:17" ht="15.75" customHeight="1">
      <c r="Q753" s="9"/>
    </row>
    <row r="754" spans="17:17" ht="15.75" customHeight="1">
      <c r="Q754" s="9"/>
    </row>
    <row r="755" spans="17:17" ht="15.75" customHeight="1">
      <c r="Q755" s="9"/>
    </row>
    <row r="756" spans="17:17" ht="15.75" customHeight="1">
      <c r="Q756" s="9"/>
    </row>
    <row r="757" spans="17:17" ht="15.75" customHeight="1">
      <c r="Q757" s="9"/>
    </row>
    <row r="758" spans="17:17" ht="15.75" customHeight="1">
      <c r="Q758" s="9"/>
    </row>
    <row r="759" spans="17:17" ht="15.75" customHeight="1">
      <c r="Q759" s="9"/>
    </row>
    <row r="760" spans="17:17" ht="15.75" customHeight="1">
      <c r="Q760" s="9"/>
    </row>
    <row r="761" spans="17:17" ht="15.75" customHeight="1">
      <c r="Q761" s="9"/>
    </row>
    <row r="762" spans="17:17" ht="15.75" customHeight="1">
      <c r="Q762" s="9"/>
    </row>
    <row r="763" spans="17:17" ht="15.75" customHeight="1">
      <c r="Q763" s="9"/>
    </row>
    <row r="764" spans="17:17" ht="15.75" customHeight="1">
      <c r="Q764" s="9"/>
    </row>
    <row r="765" spans="17:17" ht="15.75" customHeight="1">
      <c r="Q765" s="9"/>
    </row>
    <row r="766" spans="17:17" ht="15.75" customHeight="1">
      <c r="Q766" s="9"/>
    </row>
    <row r="767" spans="17:17" ht="15.75" customHeight="1">
      <c r="Q767" s="9"/>
    </row>
    <row r="768" spans="17:17" ht="15.75" customHeight="1">
      <c r="Q768" s="9"/>
    </row>
    <row r="769" spans="17:17" ht="15.75" customHeight="1">
      <c r="Q769" s="9"/>
    </row>
    <row r="770" spans="17:17" ht="15.75" customHeight="1">
      <c r="Q770" s="9"/>
    </row>
    <row r="771" spans="17:17" ht="15.75" customHeight="1">
      <c r="Q771" s="9"/>
    </row>
    <row r="772" spans="17:17" ht="15.75" customHeight="1">
      <c r="Q772" s="9"/>
    </row>
    <row r="773" spans="17:17" ht="15.75" customHeight="1">
      <c r="Q773" s="9"/>
    </row>
    <row r="774" spans="17:17" ht="15.75" customHeight="1">
      <c r="Q774" s="9"/>
    </row>
    <row r="775" spans="17:17" ht="15.75" customHeight="1">
      <c r="Q775" s="9"/>
    </row>
    <row r="776" spans="17:17" ht="15.75" customHeight="1">
      <c r="Q776" s="9"/>
    </row>
    <row r="777" spans="17:17" ht="15.75" customHeight="1">
      <c r="Q777" s="9"/>
    </row>
    <row r="778" spans="17:17" ht="15.75" customHeight="1">
      <c r="Q778" s="9"/>
    </row>
    <row r="779" spans="17:17" ht="15.75" customHeight="1">
      <c r="Q779" s="9"/>
    </row>
    <row r="780" spans="17:17" ht="15.75" customHeight="1">
      <c r="Q780" s="9"/>
    </row>
    <row r="781" spans="17:17" ht="15.75" customHeight="1">
      <c r="Q781" s="9"/>
    </row>
    <row r="782" spans="17:17" ht="15.75" customHeight="1">
      <c r="Q782" s="9"/>
    </row>
    <row r="783" spans="17:17" ht="15.75" customHeight="1">
      <c r="Q783" s="9"/>
    </row>
    <row r="784" spans="17:17" ht="15.75" customHeight="1">
      <c r="Q784" s="9"/>
    </row>
    <row r="785" spans="17:17" ht="15.75" customHeight="1">
      <c r="Q785" s="9"/>
    </row>
    <row r="786" spans="17:17" ht="15.75" customHeight="1">
      <c r="Q786" s="9"/>
    </row>
    <row r="787" spans="17:17" ht="15.75" customHeight="1">
      <c r="Q787" s="9"/>
    </row>
    <row r="788" spans="17:17" ht="15.75" customHeight="1">
      <c r="Q788" s="9"/>
    </row>
    <row r="789" spans="17:17" ht="15.75" customHeight="1">
      <c r="Q789" s="9"/>
    </row>
    <row r="790" spans="17:17" ht="15.75" customHeight="1">
      <c r="Q790" s="9"/>
    </row>
    <row r="791" spans="17:17" ht="15.75" customHeight="1">
      <c r="Q791" s="9"/>
    </row>
    <row r="792" spans="17:17" ht="15.75" customHeight="1">
      <c r="Q792" s="9"/>
    </row>
    <row r="793" spans="17:17" ht="15.75" customHeight="1">
      <c r="Q793" s="9"/>
    </row>
    <row r="794" spans="17:17" ht="15.75" customHeight="1">
      <c r="Q794" s="9"/>
    </row>
    <row r="795" spans="17:17" ht="15.75" customHeight="1">
      <c r="Q795" s="9"/>
    </row>
    <row r="796" spans="17:17" ht="15.75" customHeight="1">
      <c r="Q796" s="9"/>
    </row>
    <row r="797" spans="17:17" ht="15.75" customHeight="1">
      <c r="Q797" s="9"/>
    </row>
    <row r="798" spans="17:17" ht="15.75" customHeight="1">
      <c r="Q798" s="9"/>
    </row>
    <row r="799" spans="17:17" ht="15.75" customHeight="1">
      <c r="Q799" s="9"/>
    </row>
    <row r="800" spans="17:17" ht="15.75" customHeight="1">
      <c r="Q800" s="9"/>
    </row>
    <row r="801" spans="17:17" ht="15.75" customHeight="1">
      <c r="Q801" s="9"/>
    </row>
    <row r="802" spans="17:17" ht="15.75" customHeight="1">
      <c r="Q802" s="9"/>
    </row>
    <row r="803" spans="17:17" ht="15.75" customHeight="1">
      <c r="Q803" s="9"/>
    </row>
    <row r="804" spans="17:17" ht="15.75" customHeight="1">
      <c r="Q804" s="9"/>
    </row>
    <row r="805" spans="17:17" ht="15.75" customHeight="1">
      <c r="Q805" s="9"/>
    </row>
    <row r="806" spans="17:17" ht="15.75" customHeight="1">
      <c r="Q806" s="9"/>
    </row>
    <row r="807" spans="17:17" ht="15.75" customHeight="1">
      <c r="Q807" s="9"/>
    </row>
    <row r="808" spans="17:17" ht="15.75" customHeight="1">
      <c r="Q808" s="9"/>
    </row>
    <row r="809" spans="17:17" ht="15.75" customHeight="1">
      <c r="Q809" s="9"/>
    </row>
    <row r="810" spans="17:17" ht="15.75" customHeight="1">
      <c r="Q810" s="9"/>
    </row>
    <row r="811" spans="17:17" ht="15.75" customHeight="1">
      <c r="Q811" s="9"/>
    </row>
    <row r="812" spans="17:17" ht="15.75" customHeight="1">
      <c r="Q812" s="9"/>
    </row>
    <row r="813" spans="17:17" ht="15.75" customHeight="1">
      <c r="Q813" s="9"/>
    </row>
    <row r="814" spans="17:17" ht="15.75" customHeight="1">
      <c r="Q814" s="9"/>
    </row>
    <row r="815" spans="17:17" ht="15.75" customHeight="1">
      <c r="Q815" s="9"/>
    </row>
    <row r="816" spans="17:17" ht="15.75" customHeight="1">
      <c r="Q816" s="9"/>
    </row>
    <row r="817" spans="17:17" ht="15.75" customHeight="1">
      <c r="Q817" s="9"/>
    </row>
    <row r="818" spans="17:17" ht="15.75" customHeight="1">
      <c r="Q818" s="9"/>
    </row>
    <row r="819" spans="17:17" ht="15.75" customHeight="1">
      <c r="Q819" s="9"/>
    </row>
    <row r="820" spans="17:17" ht="15.75" customHeight="1">
      <c r="Q820" s="9"/>
    </row>
    <row r="821" spans="17:17" ht="15.75" customHeight="1">
      <c r="Q821" s="9"/>
    </row>
    <row r="822" spans="17:17" ht="15.75" customHeight="1">
      <c r="Q822" s="9"/>
    </row>
    <row r="823" spans="17:17" ht="15.75" customHeight="1">
      <c r="Q823" s="9"/>
    </row>
    <row r="824" spans="17:17" ht="15.75" customHeight="1">
      <c r="Q824" s="9"/>
    </row>
    <row r="825" spans="17:17" ht="15.75" customHeight="1">
      <c r="Q825" s="9"/>
    </row>
    <row r="826" spans="17:17" ht="15.75" customHeight="1">
      <c r="Q826" s="9"/>
    </row>
    <row r="827" spans="17:17" ht="15.75" customHeight="1">
      <c r="Q827" s="9"/>
    </row>
    <row r="828" spans="17:17" ht="15.75" customHeight="1">
      <c r="Q828" s="9"/>
    </row>
    <row r="829" spans="17:17" ht="15.75" customHeight="1">
      <c r="Q829" s="9"/>
    </row>
    <row r="830" spans="17:17" ht="15.75" customHeight="1">
      <c r="Q830" s="9"/>
    </row>
    <row r="831" spans="17:17" ht="15.75" customHeight="1">
      <c r="Q831" s="9"/>
    </row>
    <row r="832" spans="17:17" ht="15.75" customHeight="1">
      <c r="Q832" s="9"/>
    </row>
    <row r="833" spans="17:17" ht="15.75" customHeight="1">
      <c r="Q833" s="9"/>
    </row>
    <row r="834" spans="17:17" ht="15.75" customHeight="1">
      <c r="Q834" s="9"/>
    </row>
    <row r="835" spans="17:17" ht="15.75" customHeight="1">
      <c r="Q835" s="9"/>
    </row>
    <row r="836" spans="17:17" ht="15.75" customHeight="1">
      <c r="Q836" s="9"/>
    </row>
    <row r="837" spans="17:17" ht="15.75" customHeight="1">
      <c r="Q837" s="9"/>
    </row>
    <row r="838" spans="17:17" ht="15.75" customHeight="1">
      <c r="Q838" s="9"/>
    </row>
    <row r="839" spans="17:17" ht="15.75" customHeight="1">
      <c r="Q839" s="9"/>
    </row>
    <row r="840" spans="17:17" ht="15.75" customHeight="1">
      <c r="Q840" s="9"/>
    </row>
    <row r="841" spans="17:17" ht="15.75" customHeight="1">
      <c r="Q841" s="9"/>
    </row>
    <row r="842" spans="17:17" ht="15.75" customHeight="1">
      <c r="Q842" s="9"/>
    </row>
    <row r="843" spans="17:17" ht="15.75" customHeight="1">
      <c r="Q843" s="9"/>
    </row>
    <row r="844" spans="17:17" ht="15.75" customHeight="1">
      <c r="Q844" s="9"/>
    </row>
    <row r="845" spans="17:17" ht="15.75" customHeight="1">
      <c r="Q845" s="9"/>
    </row>
    <row r="846" spans="17:17" ht="15.75" customHeight="1">
      <c r="Q846" s="9"/>
    </row>
    <row r="847" spans="17:17" ht="15.75" customHeight="1">
      <c r="Q847" s="9"/>
    </row>
    <row r="848" spans="17:17" ht="15.75" customHeight="1">
      <c r="Q848" s="9"/>
    </row>
    <row r="849" spans="17:17" ht="15.75" customHeight="1">
      <c r="Q849" s="9"/>
    </row>
    <row r="850" spans="17:17" ht="15.75" customHeight="1">
      <c r="Q850" s="9"/>
    </row>
    <row r="851" spans="17:17" ht="15.75" customHeight="1">
      <c r="Q851" s="9"/>
    </row>
    <row r="852" spans="17:17" ht="15.75" customHeight="1">
      <c r="Q852" s="9"/>
    </row>
    <row r="853" spans="17:17" ht="15.75" customHeight="1">
      <c r="Q853" s="9"/>
    </row>
    <row r="854" spans="17:17" ht="15.75" customHeight="1">
      <c r="Q854" s="9"/>
    </row>
    <row r="855" spans="17:17" ht="15.75" customHeight="1">
      <c r="Q855" s="9"/>
    </row>
    <row r="856" spans="17:17" ht="15.75" customHeight="1">
      <c r="Q856" s="9"/>
    </row>
    <row r="857" spans="17:17" ht="15.75" customHeight="1">
      <c r="Q857" s="9"/>
    </row>
    <row r="858" spans="17:17" ht="15.75" customHeight="1">
      <c r="Q858" s="9"/>
    </row>
    <row r="859" spans="17:17" ht="15.75" customHeight="1">
      <c r="Q859" s="9"/>
    </row>
    <row r="860" spans="17:17" ht="15.75" customHeight="1">
      <c r="Q860" s="9"/>
    </row>
    <row r="861" spans="17:17" ht="15.75" customHeight="1">
      <c r="Q861" s="9"/>
    </row>
    <row r="862" spans="17:17" ht="15.75" customHeight="1">
      <c r="Q862" s="9"/>
    </row>
    <row r="863" spans="17:17" ht="15.75" customHeight="1">
      <c r="Q863" s="9"/>
    </row>
    <row r="864" spans="17:17" ht="15.75" customHeight="1">
      <c r="Q864" s="9"/>
    </row>
    <row r="865" spans="17:17" ht="15.75" customHeight="1">
      <c r="Q865" s="9"/>
    </row>
    <row r="866" spans="17:17" ht="15.75" customHeight="1">
      <c r="Q866" s="9"/>
    </row>
    <row r="867" spans="17:17" ht="15.75" customHeight="1">
      <c r="Q867" s="9"/>
    </row>
    <row r="868" spans="17:17" ht="15.75" customHeight="1">
      <c r="Q868" s="9"/>
    </row>
    <row r="869" spans="17:17" ht="15.75" customHeight="1">
      <c r="Q869" s="9"/>
    </row>
    <row r="870" spans="17:17" ht="15.75" customHeight="1">
      <c r="Q870" s="9"/>
    </row>
    <row r="871" spans="17:17" ht="15.75" customHeight="1">
      <c r="Q871" s="9"/>
    </row>
    <row r="872" spans="17:17" ht="15.75" customHeight="1">
      <c r="Q872" s="9"/>
    </row>
    <row r="873" spans="17:17" ht="15.75" customHeight="1">
      <c r="Q873" s="9"/>
    </row>
    <row r="874" spans="17:17" ht="15.75" customHeight="1">
      <c r="Q874" s="9"/>
    </row>
    <row r="875" spans="17:17" ht="15.75" customHeight="1">
      <c r="Q875" s="9"/>
    </row>
    <row r="876" spans="17:17" ht="15.75" customHeight="1">
      <c r="Q876" s="9"/>
    </row>
    <row r="877" spans="17:17" ht="15.75" customHeight="1">
      <c r="Q877" s="9"/>
    </row>
    <row r="878" spans="17:17" ht="15.75" customHeight="1">
      <c r="Q878" s="9"/>
    </row>
    <row r="879" spans="17:17" ht="15.75" customHeight="1">
      <c r="Q879" s="9"/>
    </row>
    <row r="880" spans="17:17" ht="15.75" customHeight="1">
      <c r="Q880" s="9"/>
    </row>
    <row r="881" spans="17:17" ht="15.75" customHeight="1">
      <c r="Q881" s="9"/>
    </row>
    <row r="882" spans="17:17" ht="15.75" customHeight="1">
      <c r="Q882" s="9"/>
    </row>
    <row r="883" spans="17:17" ht="15.75" customHeight="1">
      <c r="Q883" s="9"/>
    </row>
    <row r="884" spans="17:17" ht="15.75" customHeight="1">
      <c r="Q884" s="9"/>
    </row>
    <row r="885" spans="17:17" ht="15.75" customHeight="1">
      <c r="Q885" s="9"/>
    </row>
    <row r="886" spans="17:17" ht="15.75" customHeight="1">
      <c r="Q886" s="9"/>
    </row>
    <row r="887" spans="17:17" ht="15.75" customHeight="1">
      <c r="Q887" s="9"/>
    </row>
    <row r="888" spans="17:17" ht="15.75" customHeight="1">
      <c r="Q888" s="9"/>
    </row>
    <row r="889" spans="17:17" ht="15.75" customHeight="1">
      <c r="Q889" s="9"/>
    </row>
    <row r="890" spans="17:17" ht="15.75" customHeight="1">
      <c r="Q890" s="9"/>
    </row>
    <row r="891" spans="17:17" ht="15.75" customHeight="1">
      <c r="Q891" s="9"/>
    </row>
    <row r="892" spans="17:17" ht="15.75" customHeight="1">
      <c r="Q892" s="9"/>
    </row>
    <row r="893" spans="17:17" ht="15.75" customHeight="1">
      <c r="Q893" s="9"/>
    </row>
    <row r="894" spans="17:17" ht="15.75" customHeight="1">
      <c r="Q894" s="9"/>
    </row>
    <row r="895" spans="17:17" ht="15.75" customHeight="1">
      <c r="Q895" s="9"/>
    </row>
    <row r="896" spans="17:17" ht="15.75" customHeight="1">
      <c r="Q896" s="9"/>
    </row>
    <row r="897" spans="17:17" ht="15.75" customHeight="1">
      <c r="Q897" s="9"/>
    </row>
    <row r="898" spans="17:17" ht="15.75" customHeight="1">
      <c r="Q898" s="9"/>
    </row>
    <row r="899" spans="17:17" ht="15.75" customHeight="1">
      <c r="Q899" s="9"/>
    </row>
    <row r="900" spans="17:17" ht="15.75" customHeight="1">
      <c r="Q900" s="9"/>
    </row>
    <row r="901" spans="17:17" ht="15.75" customHeight="1">
      <c r="Q901" s="9"/>
    </row>
    <row r="902" spans="17:17" ht="15.75" customHeight="1">
      <c r="Q902" s="9"/>
    </row>
    <row r="903" spans="17:17" ht="15.75" customHeight="1">
      <c r="Q903" s="9"/>
    </row>
    <row r="904" spans="17:17" ht="15.75" customHeight="1">
      <c r="Q904" s="9"/>
    </row>
    <row r="905" spans="17:17" ht="15.75" customHeight="1">
      <c r="Q905" s="9"/>
    </row>
    <row r="906" spans="17:17" ht="15.75" customHeight="1">
      <c r="Q906" s="9"/>
    </row>
    <row r="907" spans="17:17" ht="15.75" customHeight="1">
      <c r="Q907" s="9"/>
    </row>
    <row r="908" spans="17:17" ht="15.75" customHeight="1">
      <c r="Q908" s="9"/>
    </row>
    <row r="909" spans="17:17" ht="15.75" customHeight="1">
      <c r="Q909" s="9"/>
    </row>
    <row r="910" spans="17:17" ht="15.75" customHeight="1">
      <c r="Q910" s="9"/>
    </row>
    <row r="911" spans="17:17" ht="15.75" customHeight="1">
      <c r="Q911" s="9"/>
    </row>
    <row r="912" spans="17:17" ht="15.75" customHeight="1">
      <c r="Q912" s="9"/>
    </row>
    <row r="913" spans="17:17" ht="15.75" customHeight="1">
      <c r="Q913" s="9"/>
    </row>
    <row r="914" spans="17:17" ht="15.75" customHeight="1">
      <c r="Q914" s="9"/>
    </row>
    <row r="915" spans="17:17" ht="15.75" customHeight="1">
      <c r="Q915" s="9"/>
    </row>
    <row r="916" spans="17:17" ht="15.75" customHeight="1">
      <c r="Q916" s="9"/>
    </row>
    <row r="917" spans="17:17" ht="15.75" customHeight="1">
      <c r="Q917" s="9"/>
    </row>
    <row r="918" spans="17:17" ht="15.75" customHeight="1">
      <c r="Q918" s="9"/>
    </row>
    <row r="919" spans="17:17" ht="15.75" customHeight="1">
      <c r="Q919" s="9"/>
    </row>
    <row r="920" spans="17:17" ht="15.75" customHeight="1">
      <c r="Q920" s="9"/>
    </row>
    <row r="921" spans="17:17" ht="15.75" customHeight="1">
      <c r="Q921" s="9"/>
    </row>
    <row r="922" spans="17:17" ht="15.75" customHeight="1">
      <c r="Q922" s="9"/>
    </row>
    <row r="923" spans="17:17" ht="15.75" customHeight="1">
      <c r="Q923" s="9"/>
    </row>
    <row r="924" spans="17:17" ht="15.75" customHeight="1">
      <c r="Q924" s="9"/>
    </row>
    <row r="925" spans="17:17" ht="15.75" customHeight="1">
      <c r="Q925" s="9"/>
    </row>
    <row r="926" spans="17:17" ht="15.75" customHeight="1">
      <c r="Q926" s="9"/>
    </row>
    <row r="927" spans="17:17" ht="15.75" customHeight="1">
      <c r="Q927" s="9"/>
    </row>
    <row r="928" spans="17:17" ht="15.75" customHeight="1">
      <c r="Q928" s="9"/>
    </row>
    <row r="929" spans="17:17" ht="15.75" customHeight="1">
      <c r="Q929" s="9"/>
    </row>
    <row r="930" spans="17:17" ht="15.75" customHeight="1">
      <c r="Q930" s="9"/>
    </row>
    <row r="931" spans="17:17" ht="15.75" customHeight="1">
      <c r="Q931" s="9"/>
    </row>
    <row r="932" spans="17:17" ht="15.75" customHeight="1">
      <c r="Q932" s="9"/>
    </row>
    <row r="933" spans="17:17" ht="15.75" customHeight="1">
      <c r="Q933" s="9"/>
    </row>
    <row r="934" spans="17:17" ht="15.75" customHeight="1">
      <c r="Q934" s="9"/>
    </row>
    <row r="935" spans="17:17" ht="15.75" customHeight="1">
      <c r="Q935" s="9"/>
    </row>
    <row r="936" spans="17:17" ht="15.75" customHeight="1">
      <c r="Q936" s="9"/>
    </row>
    <row r="937" spans="17:17" ht="15.75" customHeight="1">
      <c r="Q937" s="9"/>
    </row>
    <row r="938" spans="17:17" ht="15.75" customHeight="1">
      <c r="Q938" s="9"/>
    </row>
    <row r="939" spans="17:17" ht="15.75" customHeight="1">
      <c r="Q939" s="9"/>
    </row>
    <row r="940" spans="17:17" ht="15.75" customHeight="1">
      <c r="Q940" s="9"/>
    </row>
    <row r="941" spans="17:17" ht="15.75" customHeight="1">
      <c r="Q941" s="9"/>
    </row>
    <row r="942" spans="17:17" ht="15.75" customHeight="1">
      <c r="Q942" s="9"/>
    </row>
    <row r="943" spans="17:17" ht="15.75" customHeight="1">
      <c r="Q943" s="9"/>
    </row>
    <row r="944" spans="17:17" ht="15.75" customHeight="1">
      <c r="Q944" s="9"/>
    </row>
    <row r="945" spans="17:17" ht="15.75" customHeight="1">
      <c r="Q945" s="9"/>
    </row>
    <row r="946" spans="17:17" ht="15.75" customHeight="1">
      <c r="Q946" s="9"/>
    </row>
    <row r="947" spans="17:17" ht="15.75" customHeight="1">
      <c r="Q947" s="9"/>
    </row>
    <row r="948" spans="17:17" ht="15.75" customHeight="1">
      <c r="Q948" s="9"/>
    </row>
    <row r="949" spans="17:17" ht="15.75" customHeight="1">
      <c r="Q949" s="9"/>
    </row>
    <row r="950" spans="17:17" ht="15.75" customHeight="1">
      <c r="Q950" s="9"/>
    </row>
    <row r="951" spans="17:17" ht="15.75" customHeight="1">
      <c r="Q951" s="9"/>
    </row>
    <row r="952" spans="17:17" ht="15.75" customHeight="1">
      <c r="Q952" s="9"/>
    </row>
    <row r="953" spans="17:17" ht="15.75" customHeight="1">
      <c r="Q953" s="9"/>
    </row>
    <row r="954" spans="17:17" ht="15.75" customHeight="1">
      <c r="Q954" s="9"/>
    </row>
    <row r="955" spans="17:17" ht="15.75" customHeight="1">
      <c r="Q955" s="9"/>
    </row>
    <row r="956" spans="17:17" ht="15.75" customHeight="1">
      <c r="Q956" s="9"/>
    </row>
    <row r="957" spans="17:17" ht="15.75" customHeight="1">
      <c r="Q957" s="9"/>
    </row>
    <row r="958" spans="17:17" ht="15.75" customHeight="1">
      <c r="Q958" s="9"/>
    </row>
    <row r="959" spans="17:17" ht="15.75" customHeight="1">
      <c r="Q959" s="9"/>
    </row>
    <row r="960" spans="17:17" ht="15.75" customHeight="1">
      <c r="Q960" s="9"/>
    </row>
    <row r="961" spans="17:17" ht="15.75" customHeight="1">
      <c r="Q961" s="9"/>
    </row>
    <row r="962" spans="17:17" ht="15.75" customHeight="1">
      <c r="Q962" s="9"/>
    </row>
    <row r="963" spans="17:17" ht="15.75" customHeight="1">
      <c r="Q963" s="9"/>
    </row>
    <row r="964" spans="17:17" ht="15.75" customHeight="1">
      <c r="Q964" s="9"/>
    </row>
    <row r="965" spans="17:17" ht="15.75" customHeight="1">
      <c r="Q965" s="9"/>
    </row>
    <row r="966" spans="17:17" ht="15.75" customHeight="1">
      <c r="Q966" s="9"/>
    </row>
    <row r="967" spans="17:17" ht="15.75" customHeight="1">
      <c r="Q967" s="9"/>
    </row>
    <row r="968" spans="17:17" ht="15.75" customHeight="1">
      <c r="Q968" s="9"/>
    </row>
    <row r="969" spans="17:17" ht="15.75" customHeight="1">
      <c r="Q969" s="9"/>
    </row>
    <row r="970" spans="17:17" ht="15.75" customHeight="1">
      <c r="Q970" s="9"/>
    </row>
    <row r="971" spans="17:17" ht="15.75" customHeight="1">
      <c r="Q971" s="9"/>
    </row>
    <row r="972" spans="17:17" ht="15.75" customHeight="1">
      <c r="Q972" s="9"/>
    </row>
    <row r="973" spans="17:17" ht="15.75" customHeight="1">
      <c r="Q973" s="9"/>
    </row>
    <row r="974" spans="17:17" ht="15.75" customHeight="1">
      <c r="Q974" s="9"/>
    </row>
    <row r="975" spans="17:17" ht="15.75" customHeight="1">
      <c r="Q975" s="9"/>
    </row>
    <row r="976" spans="17:17" ht="15.75" customHeight="1">
      <c r="Q976" s="9"/>
    </row>
    <row r="977" spans="17:17" ht="15.75" customHeight="1">
      <c r="Q977" s="9"/>
    </row>
    <row r="978" spans="17:17" ht="15.75" customHeight="1">
      <c r="Q978" s="9"/>
    </row>
    <row r="979" spans="17:17" ht="15.75" customHeight="1">
      <c r="Q979" s="9"/>
    </row>
    <row r="980" spans="17:17" ht="15.75" customHeight="1">
      <c r="Q980" s="9"/>
    </row>
    <row r="981" spans="17:17" ht="15.75" customHeight="1">
      <c r="Q981" s="9"/>
    </row>
    <row r="982" spans="17:17" ht="15.75" customHeight="1">
      <c r="Q982" s="9"/>
    </row>
    <row r="983" spans="17:17" ht="15.75" customHeight="1">
      <c r="Q983" s="9"/>
    </row>
    <row r="984" spans="17:17" ht="15.75" customHeight="1">
      <c r="Q984" s="9"/>
    </row>
    <row r="985" spans="17:17" ht="15.75" customHeight="1">
      <c r="Q985" s="9"/>
    </row>
    <row r="986" spans="17:17" ht="15.75" customHeight="1">
      <c r="Q986" s="9"/>
    </row>
    <row r="987" spans="17:17" ht="15.75" customHeight="1">
      <c r="Q987" s="9"/>
    </row>
    <row r="988" spans="17:17" ht="15.75" customHeight="1">
      <c r="Q988" s="9"/>
    </row>
    <row r="989" spans="17:17" ht="15.75" customHeight="1">
      <c r="Q989" s="9"/>
    </row>
    <row r="990" spans="17:17" ht="15.75" customHeight="1">
      <c r="Q990" s="9"/>
    </row>
    <row r="991" spans="17:17" ht="15.75" customHeight="1">
      <c r="Q991" s="9"/>
    </row>
    <row r="992" spans="17:17" ht="15.75" customHeight="1">
      <c r="Q992" s="9"/>
    </row>
    <row r="993" spans="17:17" ht="15.75" customHeight="1">
      <c r="Q993" s="9"/>
    </row>
    <row r="994" spans="17:17" ht="15.75" customHeight="1">
      <c r="Q994" s="9"/>
    </row>
    <row r="995" spans="17:17" ht="15.75" customHeight="1">
      <c r="Q995" s="9"/>
    </row>
  </sheetData>
  <mergeCells count="3">
    <mergeCell ref="C2:H2"/>
    <mergeCell ref="I2:N2"/>
    <mergeCell ref="O2:Q2"/>
  </mergeCells>
  <conditionalFormatting sqref="H13">
    <cfRule type="cellIs" dxfId="1" priority="1" operator="lessThan">
      <formula>0</formula>
    </cfRule>
  </conditionalFormatting>
  <conditionalFormatting sqref="H8">
    <cfRule type="cellIs" dxfId="0" priority="3" operator="lessThan">
      <formula>0</formula>
    </cfRule>
  </conditionalFormatting>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G991"/>
  <sheetViews>
    <sheetView showGridLines="0" zoomScale="90" zoomScaleNormal="90" workbookViewId="0">
      <selection activeCell="B11" sqref="B5:G11"/>
    </sheetView>
  </sheetViews>
  <sheetFormatPr defaultColWidth="14.44140625" defaultRowHeight="15" customHeight="1"/>
  <cols>
    <col min="1" max="1" width="2.6640625" customWidth="1"/>
    <col min="2" max="2" width="17.5546875" customWidth="1"/>
    <col min="3" max="3" width="21" customWidth="1"/>
    <col min="4" max="4" width="14.109375" customWidth="1"/>
    <col min="5" max="5" width="29.6640625" customWidth="1"/>
    <col min="6" max="6" width="20.21875" bestFit="1" customWidth="1"/>
    <col min="7" max="7" width="13" bestFit="1" customWidth="1"/>
    <col min="8" max="26" width="10.6640625" customWidth="1"/>
  </cols>
  <sheetData>
    <row r="2" spans="2:7" ht="29.25" customHeight="1"/>
    <row r="3" spans="2:7" ht="23.25" customHeight="1"/>
    <row r="4" spans="2:7" ht="24" customHeight="1" thickBot="1"/>
    <row r="5" spans="2:7" ht="39.75" customHeight="1" thickTop="1">
      <c r="B5" s="75"/>
      <c r="C5" s="67" t="s">
        <v>43</v>
      </c>
      <c r="D5" s="68"/>
      <c r="E5" s="69"/>
      <c r="F5" s="69"/>
      <c r="G5" s="70"/>
    </row>
    <row r="6" spans="2:7" ht="24.75" customHeight="1">
      <c r="B6" s="76"/>
      <c r="C6" s="71" t="s">
        <v>42</v>
      </c>
      <c r="D6" s="72"/>
      <c r="E6" s="73"/>
      <c r="F6" s="73"/>
      <c r="G6" s="74"/>
    </row>
    <row r="7" spans="2:7" ht="21" customHeight="1">
      <c r="B7" s="76"/>
      <c r="C7" s="71" t="s">
        <v>41</v>
      </c>
      <c r="D7" s="73"/>
      <c r="E7" s="73"/>
      <c r="F7" s="73"/>
      <c r="G7" s="74"/>
    </row>
    <row r="8" spans="2:7" ht="15" customHeight="1">
      <c r="B8" s="54"/>
      <c r="C8" s="55"/>
      <c r="D8" s="55"/>
      <c r="E8" s="55"/>
      <c r="F8" s="55"/>
      <c r="G8" s="56"/>
    </row>
    <row r="9" spans="2:7" ht="15" customHeight="1">
      <c r="B9" s="57"/>
      <c r="C9" s="58"/>
      <c r="D9" s="58"/>
      <c r="E9" s="58"/>
      <c r="F9" s="58"/>
      <c r="G9" s="59"/>
    </row>
    <row r="10" spans="2:7" ht="15" customHeight="1">
      <c r="B10" s="60" t="s">
        <v>28</v>
      </c>
      <c r="C10" s="82"/>
      <c r="D10" s="85">
        <f ca="1">TODAY()</f>
        <v>46236</v>
      </c>
      <c r="E10" s="83"/>
      <c r="F10" s="83"/>
      <c r="G10" s="84"/>
    </row>
    <row r="11" spans="2:7" ht="15" customHeight="1">
      <c r="B11" s="61" t="s">
        <v>29</v>
      </c>
      <c r="C11" s="196" t="str">
        <f>IF(G11="","",CONVERTIRNUM(G11))</f>
        <v>Setecientos Mil Pesos</v>
      </c>
      <c r="D11" s="197"/>
      <c r="E11" s="198"/>
      <c r="F11" s="62" t="s">
        <v>20</v>
      </c>
      <c r="G11" s="63">
        <f>VLOOKUP(C12,Pago_Equ_Insc!$B$5:$P$14,15,FALSE)</f>
        <v>700000</v>
      </c>
    </row>
    <row r="12" spans="2:7" ht="18" thickBot="1">
      <c r="B12" s="133" t="s">
        <v>39</v>
      </c>
      <c r="C12" s="77" t="s">
        <v>11</v>
      </c>
      <c r="D12" s="193" t="str">
        <f>UPPER(C12)</f>
        <v>CLASE APARTE</v>
      </c>
      <c r="E12" s="194"/>
      <c r="F12" s="194"/>
      <c r="G12" s="195"/>
    </row>
    <row r="13" spans="2:7" ht="15.75" customHeight="1" thickTop="1" thickBot="1">
      <c r="B13" s="64"/>
      <c r="C13" s="65"/>
      <c r="D13" s="65"/>
      <c r="E13" s="65"/>
      <c r="F13" s="65"/>
      <c r="G13" s="66"/>
    </row>
    <row r="14" spans="2:7" ht="15.6" thickTop="1" thickBot="1">
      <c r="B14" s="89" t="s">
        <v>0</v>
      </c>
      <c r="C14" s="90" t="s">
        <v>2</v>
      </c>
      <c r="D14" s="90" t="s">
        <v>4</v>
      </c>
      <c r="E14" s="90" t="s">
        <v>8</v>
      </c>
      <c r="F14" s="90" t="s">
        <v>7</v>
      </c>
      <c r="G14" s="90" t="s">
        <v>40</v>
      </c>
    </row>
    <row r="15" spans="2:7" ht="15.75" customHeight="1" thickTop="1" thickBot="1">
      <c r="B15" s="242">
        <v>1</v>
      </c>
      <c r="C15" s="78" t="s">
        <v>91</v>
      </c>
      <c r="D15" s="78">
        <v>31</v>
      </c>
      <c r="E15" s="78" t="s">
        <v>66</v>
      </c>
      <c r="F15" s="78" t="s">
        <v>92</v>
      </c>
      <c r="G15" s="80">
        <v>300000</v>
      </c>
    </row>
    <row r="16" spans="2:7" thickTop="1">
      <c r="B16" s="241">
        <v>3</v>
      </c>
      <c r="C16" s="78" t="s">
        <v>82</v>
      </c>
      <c r="D16" s="78">
        <v>31</v>
      </c>
      <c r="E16" s="78" t="s">
        <v>36</v>
      </c>
      <c r="F16" s="78" t="s">
        <v>92</v>
      </c>
      <c r="G16" s="80">
        <v>300000</v>
      </c>
    </row>
    <row r="17" spans="2:7" thickBot="1">
      <c r="B17" s="87" t="s">
        <v>81</v>
      </c>
      <c r="C17" s="79"/>
      <c r="D17" s="79"/>
      <c r="E17" s="79"/>
      <c r="F17" s="81"/>
      <c r="G17" s="88">
        <v>600000</v>
      </c>
    </row>
    <row r="18" spans="2:7" ht="15.75" customHeight="1" thickTop="1"/>
    <row r="19" spans="2:7" ht="15.75" customHeight="1" thickTop="1"/>
    <row r="20" spans="2:7" ht="15.75" customHeight="1" thickBot="1"/>
    <row r="21" spans="2:7" ht="15.75" customHeight="1" thickTop="1"/>
    <row r="22" spans="2:7" ht="15.75" customHeight="1" thickBot="1"/>
    <row r="23" spans="2:7" ht="15.75" customHeight="1" thickTop="1"/>
    <row r="24" spans="2:7" ht="15.75" customHeight="1"/>
    <row r="25" spans="2:7" ht="15.75" customHeight="1"/>
    <row r="26" spans="2:7" ht="15.75" customHeight="1"/>
    <row r="27" spans="2:7" ht="15.75" customHeight="1"/>
    <row r="28" spans="2:7" ht="15.75" customHeight="1"/>
    <row r="29" spans="2:7" ht="15.75" customHeight="1"/>
    <row r="30" spans="2:7" ht="15.75" customHeight="1"/>
    <row r="31" spans="2:7" ht="15.75" customHeight="1"/>
    <row r="32" spans="2:7"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sheetData>
  <dataConsolidate/>
  <mergeCells count="2">
    <mergeCell ref="D12:G12"/>
    <mergeCell ref="C11:E11"/>
  </mergeCells>
  <printOptions horizontalCentered="1" verticalCentered="1"/>
  <pageMargins left="0.70866141732283472" right="0.70866141732283472" top="0.74803149606299213" bottom="0.74803149606299213" header="0" footer="0"/>
  <pageSetup paperSize="9" orientation="landscape"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B1:I1000"/>
  <sheetViews>
    <sheetView showGridLines="0" zoomScale="80" zoomScaleNormal="80" workbookViewId="0">
      <selection activeCell="I24" sqref="I24"/>
    </sheetView>
  </sheetViews>
  <sheetFormatPr defaultColWidth="14.44140625" defaultRowHeight="15" customHeight="1"/>
  <cols>
    <col min="1" max="1" width="10.6640625" customWidth="1"/>
    <col min="2" max="2" width="16.33203125" customWidth="1"/>
    <col min="3" max="3" width="30.5546875" customWidth="1"/>
    <col min="4" max="5" width="10.6640625" customWidth="1"/>
    <col min="6" max="6" width="20.5546875" customWidth="1"/>
    <col min="7" max="8" width="10.6640625" customWidth="1"/>
    <col min="9" max="9" width="60.5546875" bestFit="1" customWidth="1"/>
    <col min="10" max="26" width="10.6640625" customWidth="1"/>
  </cols>
  <sheetData>
    <row r="1" spans="2:9" ht="15" customHeight="1" thickBot="1"/>
    <row r="2" spans="2:9" ht="29.4" thickTop="1" thickBot="1">
      <c r="B2" s="13"/>
      <c r="C2" s="207" t="s">
        <v>13</v>
      </c>
      <c r="D2" s="208"/>
      <c r="E2" s="208"/>
      <c r="F2" s="209"/>
      <c r="I2" s="132" t="s">
        <v>79</v>
      </c>
    </row>
    <row r="3" spans="2:9" ht="28.8" thickTop="1" thickBot="1">
      <c r="B3" s="14"/>
      <c r="C3" s="210" t="s">
        <v>14</v>
      </c>
      <c r="D3" s="211"/>
      <c r="E3" s="211"/>
      <c r="F3" s="212"/>
      <c r="I3" s="131">
        <v>1</v>
      </c>
    </row>
    <row r="4" spans="2:9" ht="27" customHeight="1" thickTop="1" thickBot="1">
      <c r="B4" s="14"/>
      <c r="C4" s="15"/>
      <c r="E4" s="16" t="s">
        <v>15</v>
      </c>
      <c r="F4" s="17" t="str">
        <f>IF(I3="","",UPPER(VLOOKUP(I3,Pagos!$A$2:$K$1000002,11,FALSE)))</f>
        <v>INS26001</v>
      </c>
    </row>
    <row r="5" spans="2:9" ht="14.4">
      <c r="B5" s="18" t="s">
        <v>16</v>
      </c>
      <c r="C5" s="19" t="s">
        <v>17</v>
      </c>
      <c r="D5" s="20" t="s">
        <v>18</v>
      </c>
      <c r="E5" s="213">
        <f>IF(I3="","",VLOOKUP(I3,Pagos!$A$2:$I$1000002,2,FALSE))</f>
        <v>46236</v>
      </c>
      <c r="F5" s="214"/>
    </row>
    <row r="6" spans="2:9" ht="6" customHeight="1">
      <c r="B6" s="215"/>
      <c r="C6" s="216"/>
      <c r="D6" s="216"/>
      <c r="E6" s="216"/>
      <c r="F6" s="217"/>
    </row>
    <row r="7" spans="2:9" ht="6" customHeight="1">
      <c r="B7" s="218"/>
      <c r="C7" s="216"/>
      <c r="D7" s="216"/>
      <c r="E7" s="216"/>
      <c r="F7" s="217"/>
    </row>
    <row r="8" spans="2:9" ht="18">
      <c r="B8" s="21" t="s">
        <v>19</v>
      </c>
      <c r="C8" s="22" t="str">
        <f>IF(I3="","",UPPER(VLOOKUP(I3,Pagos!$A$2:$I$1000002,4,FALSE)))</f>
        <v>CLASE APARTE</v>
      </c>
      <c r="D8" s="23" t="s">
        <v>20</v>
      </c>
      <c r="E8" s="219">
        <f>IF(I3="","",VLOOKUP(I3,Pagos!$A$2:$I$1000002,7,FALSE))</f>
        <v>300000</v>
      </c>
      <c r="F8" s="217"/>
    </row>
    <row r="9" spans="2:9" ht="6" customHeight="1">
      <c r="B9" s="220"/>
      <c r="C9" s="216"/>
      <c r="D9" s="216"/>
      <c r="E9" s="216"/>
      <c r="F9" s="217"/>
    </row>
    <row r="10" spans="2:9" ht="14.4">
      <c r="B10" s="21" t="s">
        <v>21</v>
      </c>
      <c r="C10" s="221" t="str">
        <f>IF(I3="","",UPPER(VLOOKUP(I3,Pagos!$A$2:$I$1000002,8,FALSE)))</f>
        <v>TRESCIENTOS MIL PESOS</v>
      </c>
      <c r="D10" s="216"/>
      <c r="E10" s="216"/>
      <c r="F10" s="217"/>
    </row>
    <row r="11" spans="2:9" ht="6" customHeight="1">
      <c r="B11" s="215"/>
      <c r="C11" s="216"/>
      <c r="D11" s="216"/>
      <c r="E11" s="216"/>
      <c r="F11" s="217"/>
    </row>
    <row r="12" spans="2:9" ht="18">
      <c r="B12" s="21" t="s">
        <v>22</v>
      </c>
      <c r="C12" s="22" t="str">
        <f>IF(I3="","",UPPER(VLOOKUP(I3,Pagos!$A$2:$I$1000002,9,FALSE)))</f>
        <v>INSCRIPCION 2026 - 2027</v>
      </c>
      <c r="D12" s="23" t="s">
        <v>23</v>
      </c>
      <c r="E12" s="222">
        <f>IFERROR(VLOOKUP(C8,Pago_Equ_Insc!B5:P14,15,FALSE),0)</f>
        <v>700000</v>
      </c>
      <c r="F12" s="217"/>
    </row>
    <row r="13" spans="2:9" ht="6" customHeight="1">
      <c r="B13" s="223"/>
      <c r="C13" s="224"/>
      <c r="D13" s="224"/>
      <c r="E13" s="224"/>
      <c r="F13" s="225"/>
    </row>
    <row r="14" spans="2:9" ht="14.4">
      <c r="B14" s="21" t="s">
        <v>24</v>
      </c>
      <c r="C14" s="226" t="s">
        <v>25</v>
      </c>
      <c r="D14" s="227"/>
      <c r="E14" s="227"/>
      <c r="F14" s="214"/>
    </row>
    <row r="15" spans="2:9" ht="14.4">
      <c r="B15" s="199" t="s">
        <v>26</v>
      </c>
      <c r="C15" s="201"/>
      <c r="D15" s="202"/>
      <c r="E15" s="202"/>
      <c r="F15" s="203"/>
    </row>
    <row r="16" spans="2:9" ht="14.4">
      <c r="B16" s="200"/>
      <c r="C16" s="204"/>
      <c r="D16" s="205"/>
      <c r="E16" s="205"/>
      <c r="F16" s="206"/>
      <c r="H16" s="24" t="s">
        <v>27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
    <mergeCell ref="B15:B16"/>
    <mergeCell ref="C15:F16"/>
    <mergeCell ref="C2:F2"/>
    <mergeCell ref="C3:F3"/>
    <mergeCell ref="E5:F5"/>
    <mergeCell ref="B6:F6"/>
    <mergeCell ref="B7:F7"/>
    <mergeCell ref="E8:F8"/>
    <mergeCell ref="B9:F9"/>
    <mergeCell ref="C10:F10"/>
    <mergeCell ref="B11:F11"/>
    <mergeCell ref="E12:F12"/>
    <mergeCell ref="B13:F13"/>
    <mergeCell ref="C14:F14"/>
  </mergeCells>
  <pageMargins left="0.7" right="0.7" top="0.75" bottom="0.75" header="0" footer="0"/>
  <pageSetup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1E77A-A0C4-4C71-805F-EC27684E3FBE}">
  <dimension ref="B3:F16"/>
  <sheetViews>
    <sheetView showGridLines="0" tabSelected="1" workbookViewId="0">
      <selection activeCell="B13" sqref="B13:F13"/>
    </sheetView>
  </sheetViews>
  <sheetFormatPr defaultRowHeight="14.4"/>
  <cols>
    <col min="1" max="1" width="20" bestFit="1" customWidth="1"/>
    <col min="2" max="2" width="21.44140625" bestFit="1" customWidth="1"/>
    <col min="3" max="3" width="22.21875" bestFit="1" customWidth="1"/>
    <col min="4" max="5" width="18.6640625" bestFit="1" customWidth="1"/>
    <col min="6" max="7" width="12.6640625" bestFit="1" customWidth="1"/>
  </cols>
  <sheetData>
    <row r="3" spans="2:6" ht="15" thickBot="1"/>
    <row r="4" spans="2:6" ht="31.8" thickTop="1">
      <c r="B4" s="75"/>
      <c r="C4" s="246" t="s">
        <v>99</v>
      </c>
      <c r="D4" s="247"/>
      <c r="E4" s="248"/>
      <c r="F4" s="70"/>
    </row>
    <row r="5" spans="2:6" ht="20.399999999999999">
      <c r="B5" s="76"/>
      <c r="C5" s="251" t="s">
        <v>100</v>
      </c>
      <c r="D5" s="249"/>
      <c r="E5" s="250"/>
      <c r="F5" s="74"/>
    </row>
    <row r="6" spans="2:6" ht="20.399999999999999">
      <c r="B6" s="76"/>
      <c r="C6" s="251" t="s">
        <v>101</v>
      </c>
      <c r="D6" s="250"/>
      <c r="E6" s="250"/>
      <c r="F6" s="74"/>
    </row>
    <row r="7" spans="2:6">
      <c r="B7" s="54"/>
      <c r="C7" s="55"/>
      <c r="D7" s="55"/>
      <c r="E7" s="55"/>
      <c r="F7" s="56"/>
    </row>
    <row r="8" spans="2:6">
      <c r="B8" s="57"/>
      <c r="C8" s="58"/>
      <c r="D8" s="58"/>
      <c r="E8" s="58"/>
      <c r="F8" s="59"/>
    </row>
    <row r="9" spans="2:6" ht="17.399999999999999">
      <c r="B9" s="60" t="s">
        <v>28</v>
      </c>
      <c r="C9" s="82"/>
      <c r="D9" s="85">
        <f ca="1">TODAY()</f>
        <v>46236</v>
      </c>
      <c r="E9" s="83"/>
      <c r="F9" s="84"/>
    </row>
    <row r="10" spans="2:6" ht="17.399999999999999">
      <c r="B10" s="61" t="s">
        <v>29</v>
      </c>
      <c r="C10" s="196" t="str">
        <f>IF(F10="","",CONVERTIRNUM(F10))</f>
        <v>Setecientos Mil Pesos</v>
      </c>
      <c r="D10" s="197"/>
      <c r="E10" s="198"/>
      <c r="F10" s="63">
        <f>VLOOKUP(C11,Pago_Equ_Insc!$B$5:$P$14,15,FALSE)</f>
        <v>700000</v>
      </c>
    </row>
    <row r="11" spans="2:6">
      <c r="B11" s="240" t="s">
        <v>3</v>
      </c>
      <c r="C11" t="s">
        <v>11</v>
      </c>
    </row>
    <row r="12" spans="2:6">
      <c r="B12" s="240" t="s">
        <v>8</v>
      </c>
      <c r="C12" t="s">
        <v>66</v>
      </c>
    </row>
    <row r="14" spans="2:6">
      <c r="B14" s="240" t="s">
        <v>80</v>
      </c>
      <c r="C14" s="240" t="s">
        <v>1</v>
      </c>
      <c r="D14" s="240" t="s">
        <v>4</v>
      </c>
      <c r="E14" s="240" t="s">
        <v>7</v>
      </c>
      <c r="F14" t="s">
        <v>94</v>
      </c>
    </row>
    <row r="15" spans="2:6">
      <c r="B15" t="s">
        <v>98</v>
      </c>
      <c r="C15" s="141">
        <v>46236</v>
      </c>
      <c r="D15">
        <v>31</v>
      </c>
      <c r="E15" t="s">
        <v>92</v>
      </c>
      <c r="F15" s="243">
        <v>300000</v>
      </c>
    </row>
    <row r="16" spans="2:6">
      <c r="B16" t="s">
        <v>81</v>
      </c>
      <c r="F16" s="243">
        <v>300000</v>
      </c>
    </row>
  </sheetData>
  <mergeCells count="1">
    <mergeCell ref="C10:E10"/>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2:A1000"/>
  <sheetViews>
    <sheetView showGridLines="0" workbookViewId="0">
      <selection activeCell="K11" sqref="K11"/>
    </sheetView>
  </sheetViews>
  <sheetFormatPr defaultColWidth="14.44140625" defaultRowHeight="15" customHeight="1"/>
  <cols>
    <col min="1" max="1" width="10.6640625" customWidth="1"/>
    <col min="2" max="2" width="13.33203125" customWidth="1"/>
    <col min="3" max="3" width="13" customWidth="1"/>
    <col min="4" max="7" width="12" customWidth="1"/>
    <col min="8" max="26" width="10.6640625" customWidth="1"/>
  </cols>
  <sheetData>
    <row r="2" ht="14.4"/>
    <row r="3" ht="14.4"/>
    <row r="4" ht="14.4"/>
    <row r="5" ht="14.4"/>
    <row r="6" ht="14.4"/>
    <row r="7" ht="14.4"/>
    <row r="8" ht="14.4"/>
    <row r="9" ht="14.4"/>
    <row r="11" ht="14.4"/>
    <row r="12" ht="14.4"/>
    <row r="13" ht="14.4"/>
    <row r="14" ht="14.4"/>
    <row r="15" ht="14.4"/>
    <row r="16" ht="14.4"/>
    <row r="17" ht="14.4"/>
    <row r="18" ht="14.4"/>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999"/>
  <sheetViews>
    <sheetView workbookViewId="0">
      <selection activeCell="O10" sqref="O10"/>
    </sheetView>
  </sheetViews>
  <sheetFormatPr defaultRowHeight="14.4"/>
  <cols>
    <col min="1" max="1" width="3.109375" style="93" customWidth="1"/>
    <col min="2" max="2" width="10.6640625" style="93" customWidth="1"/>
    <col min="3" max="4" width="10.6640625" style="144" customWidth="1"/>
    <col min="5" max="6" width="8.88671875" style="159"/>
    <col min="8" max="8" width="11.6640625" bestFit="1" customWidth="1"/>
    <col min="9" max="10" width="10.109375" bestFit="1" customWidth="1"/>
    <col min="11" max="11" width="15.88671875" bestFit="1" customWidth="1"/>
    <col min="12" max="12" width="11.6640625" bestFit="1" customWidth="1"/>
    <col min="16" max="16" width="10.33203125" bestFit="1" customWidth="1"/>
  </cols>
  <sheetData>
    <row r="1" spans="1:16" ht="15" customHeight="1">
      <c r="A1" s="94">
        <v>70000</v>
      </c>
      <c r="B1" s="228" t="s">
        <v>18</v>
      </c>
      <c r="C1" s="228"/>
      <c r="D1" s="228"/>
      <c r="E1" s="231" t="s">
        <v>84</v>
      </c>
      <c r="F1" s="232"/>
      <c r="G1" s="232"/>
      <c r="H1" s="232"/>
      <c r="I1" s="232"/>
      <c r="J1" s="232"/>
      <c r="K1" s="232"/>
      <c r="L1" s="233"/>
    </row>
    <row r="2" spans="1:16" ht="15" customHeight="1">
      <c r="A2" s="94"/>
      <c r="B2" s="228"/>
      <c r="C2" s="228"/>
      <c r="D2" s="228"/>
      <c r="E2" s="234"/>
      <c r="F2" s="235"/>
      <c r="G2" s="235"/>
      <c r="H2" s="235"/>
      <c r="I2" s="235"/>
      <c r="J2" s="235"/>
      <c r="K2" s="235"/>
      <c r="L2" s="236"/>
    </row>
    <row r="3" spans="1:16" ht="15" customHeight="1">
      <c r="A3" s="94"/>
      <c r="B3" s="229"/>
      <c r="C3" s="229"/>
      <c r="D3" s="229"/>
      <c r="E3" s="234"/>
      <c r="F3" s="235"/>
      <c r="G3" s="235"/>
      <c r="H3" s="235"/>
      <c r="I3" s="235"/>
      <c r="J3" s="235"/>
      <c r="K3" s="235"/>
      <c r="L3" s="236"/>
    </row>
    <row r="4" spans="1:16" ht="15.75" customHeight="1" thickBot="1">
      <c r="A4" s="94"/>
      <c r="B4" s="230" t="s">
        <v>2</v>
      </c>
      <c r="C4" s="230"/>
      <c r="D4" s="230"/>
      <c r="E4" s="237"/>
      <c r="F4" s="238"/>
      <c r="G4" s="238"/>
      <c r="H4" s="238"/>
      <c r="I4" s="238"/>
      <c r="J4" s="238"/>
      <c r="K4" s="238"/>
      <c r="L4" s="239"/>
    </row>
    <row r="5" spans="1:16">
      <c r="A5" s="152" t="s">
        <v>46</v>
      </c>
      <c r="B5" s="153" t="s">
        <v>2</v>
      </c>
      <c r="C5" s="154" t="s">
        <v>4</v>
      </c>
      <c r="D5" s="154" t="s">
        <v>51</v>
      </c>
      <c r="E5" s="155" t="s">
        <v>47</v>
      </c>
      <c r="F5" s="155" t="s">
        <v>65</v>
      </c>
      <c r="G5" s="156" t="s">
        <v>48</v>
      </c>
      <c r="H5" s="156" t="s">
        <v>49</v>
      </c>
      <c r="I5" s="155" t="s">
        <v>50</v>
      </c>
      <c r="J5" s="155" t="s">
        <v>89</v>
      </c>
      <c r="K5" s="155" t="s">
        <v>87</v>
      </c>
      <c r="L5" s="157" t="s">
        <v>35</v>
      </c>
      <c r="O5">
        <v>6</v>
      </c>
      <c r="P5" s="245">
        <v>30000</v>
      </c>
    </row>
    <row r="6" spans="1:16">
      <c r="A6" s="148">
        <v>1</v>
      </c>
      <c r="B6" s="150">
        <v>46242</v>
      </c>
      <c r="C6" s="149" t="str">
        <f>IF(B6="","","Semana "&amp;WEEKNUM(B6,2))</f>
        <v>Semana 32</v>
      </c>
      <c r="D6" s="149" t="str">
        <f>IF(B6="","",TEXT(B6,"DDDD"))</f>
        <v>sábado</v>
      </c>
      <c r="E6" s="147">
        <v>100</v>
      </c>
      <c r="F6" s="147">
        <v>5</v>
      </c>
      <c r="G6" s="134">
        <f>IF(E6="","",(E6*2)-F6)</f>
        <v>195</v>
      </c>
      <c r="H6" s="146">
        <f>IF(E6="","",IF(F6="",($A$1-10000)*E6,(($A$1-25000)*F6)+((E6-F6)*60000)))</f>
        <v>5925000</v>
      </c>
      <c r="I6" s="151">
        <v>975000</v>
      </c>
      <c r="J6" s="151">
        <v>500000</v>
      </c>
      <c r="K6" s="151">
        <v>350000</v>
      </c>
      <c r="L6" s="146">
        <f>IF(B6="",0,((($A$1*G6)-H6)-I6)-J6)+K6</f>
        <v>6600000</v>
      </c>
      <c r="O6">
        <v>100</v>
      </c>
      <c r="P6" s="245">
        <f>(O6*P5)/O5</f>
        <v>500000</v>
      </c>
    </row>
    <row r="7" spans="1:16">
      <c r="A7" s="148">
        <v>2</v>
      </c>
      <c r="B7" s="150">
        <v>46243</v>
      </c>
      <c r="C7" s="149" t="str">
        <f t="shared" ref="C7:C43" si="0">IF(B7="","","Semana "&amp;WEEKNUM(B7,2))</f>
        <v>Semana 32</v>
      </c>
      <c r="D7" s="149" t="str">
        <f t="shared" ref="D7:D43" si="1">IF(B7="","",TEXT(B7,"DDDD"))</f>
        <v>domingo</v>
      </c>
      <c r="E7" s="244">
        <v>4</v>
      </c>
      <c r="F7" s="244">
        <v>1</v>
      </c>
      <c r="G7" s="134">
        <f t="shared" ref="G7:G43" si="2">IF(E7="","",(E7*2)-F7)</f>
        <v>7</v>
      </c>
      <c r="H7" s="146">
        <f t="shared" ref="H7:H43" si="3">IF(E7="","",IF(F7="",($A$1-10000)*E7,(($A$1-25000)*F7)+((E7-F7)*60000)))</f>
        <v>225000</v>
      </c>
      <c r="I7" s="151">
        <v>35000</v>
      </c>
      <c r="J7" s="151">
        <v>20000</v>
      </c>
      <c r="K7" s="151"/>
      <c r="L7" s="146">
        <f t="shared" ref="L7:L43" si="4">IF(B7="",0,(($A$1*G7)-H7)-I7)+K7</f>
        <v>230000</v>
      </c>
      <c r="N7">
        <v>200</v>
      </c>
    </row>
    <row r="8" spans="1:16">
      <c r="A8" s="148">
        <v>3</v>
      </c>
      <c r="B8" s="150"/>
      <c r="C8" s="149" t="str">
        <f t="shared" si="0"/>
        <v/>
      </c>
      <c r="D8" s="149" t="str">
        <f t="shared" si="1"/>
        <v/>
      </c>
      <c r="E8" s="244"/>
      <c r="F8" s="244"/>
      <c r="G8" s="134" t="s">
        <v>88</v>
      </c>
      <c r="H8" s="146" t="str">
        <f t="shared" si="3"/>
        <v/>
      </c>
      <c r="I8" s="151"/>
      <c r="J8" s="151"/>
      <c r="K8" s="151"/>
      <c r="L8" s="146">
        <f t="shared" si="4"/>
        <v>0</v>
      </c>
    </row>
    <row r="9" spans="1:16">
      <c r="A9" s="148">
        <v>4</v>
      </c>
      <c r="B9" s="150"/>
      <c r="C9" s="149" t="str">
        <f t="shared" si="0"/>
        <v/>
      </c>
      <c r="D9" s="149" t="str">
        <f t="shared" si="1"/>
        <v/>
      </c>
      <c r="E9" s="244"/>
      <c r="F9" s="244"/>
      <c r="G9" s="134" t="str">
        <f t="shared" si="2"/>
        <v/>
      </c>
      <c r="H9" s="146" t="str">
        <f t="shared" si="3"/>
        <v/>
      </c>
      <c r="I9" s="151"/>
      <c r="J9" s="151"/>
      <c r="K9" s="151"/>
      <c r="L9" s="146">
        <f t="shared" si="4"/>
        <v>0</v>
      </c>
    </row>
    <row r="10" spans="1:16">
      <c r="A10" s="148">
        <v>5</v>
      </c>
      <c r="B10" s="150"/>
      <c r="C10" s="149" t="str">
        <f t="shared" si="0"/>
        <v/>
      </c>
      <c r="D10" s="149" t="str">
        <f t="shared" si="1"/>
        <v/>
      </c>
      <c r="E10" s="244"/>
      <c r="F10" s="244"/>
      <c r="G10" s="134" t="str">
        <f t="shared" si="2"/>
        <v/>
      </c>
      <c r="H10" s="146" t="str">
        <f t="shared" si="3"/>
        <v/>
      </c>
      <c r="I10" s="151"/>
      <c r="J10" s="151"/>
      <c r="K10" s="151"/>
      <c r="L10" s="146">
        <f t="shared" si="4"/>
        <v>0</v>
      </c>
    </row>
    <row r="11" spans="1:16">
      <c r="A11" s="148">
        <v>6</v>
      </c>
      <c r="B11" s="150"/>
      <c r="C11" s="149" t="str">
        <f t="shared" si="0"/>
        <v/>
      </c>
      <c r="D11" s="149" t="str">
        <f t="shared" si="1"/>
        <v/>
      </c>
      <c r="E11" s="244"/>
      <c r="F11" s="244"/>
      <c r="G11" s="134" t="str">
        <f t="shared" si="2"/>
        <v/>
      </c>
      <c r="H11" s="146" t="str">
        <f t="shared" si="3"/>
        <v/>
      </c>
      <c r="I11" s="151"/>
      <c r="J11" s="151"/>
      <c r="K11" s="151"/>
      <c r="L11" s="146">
        <f t="shared" si="4"/>
        <v>0</v>
      </c>
      <c r="P11">
        <f>195*5</f>
        <v>975</v>
      </c>
    </row>
    <row r="12" spans="1:16">
      <c r="A12" s="148">
        <v>7</v>
      </c>
      <c r="B12" s="150"/>
      <c r="C12" s="149" t="str">
        <f t="shared" si="0"/>
        <v/>
      </c>
      <c r="D12" s="149" t="str">
        <f t="shared" si="1"/>
        <v/>
      </c>
      <c r="E12" s="244"/>
      <c r="F12" s="244"/>
      <c r="G12" s="134" t="str">
        <f t="shared" si="2"/>
        <v/>
      </c>
      <c r="H12" s="146" t="str">
        <f t="shared" si="3"/>
        <v/>
      </c>
      <c r="I12" s="151"/>
      <c r="J12" s="151"/>
      <c r="K12" s="151"/>
      <c r="L12" s="146">
        <f t="shared" si="4"/>
        <v>0</v>
      </c>
    </row>
    <row r="13" spans="1:16">
      <c r="A13" s="148">
        <v>8</v>
      </c>
      <c r="B13" s="150"/>
      <c r="C13" s="149" t="str">
        <f t="shared" si="0"/>
        <v/>
      </c>
      <c r="D13" s="149" t="str">
        <f t="shared" si="1"/>
        <v/>
      </c>
      <c r="E13" s="244"/>
      <c r="F13" s="244"/>
      <c r="G13" s="134" t="str">
        <f t="shared" si="2"/>
        <v/>
      </c>
      <c r="H13" s="146" t="str">
        <f t="shared" si="3"/>
        <v/>
      </c>
      <c r="I13" s="151"/>
      <c r="J13" s="151"/>
      <c r="K13" s="151"/>
      <c r="L13" s="146">
        <f t="shared" si="4"/>
        <v>0</v>
      </c>
    </row>
    <row r="14" spans="1:16">
      <c r="A14" s="148">
        <v>9</v>
      </c>
      <c r="B14" s="150"/>
      <c r="C14" s="149" t="str">
        <f t="shared" si="0"/>
        <v/>
      </c>
      <c r="D14" s="149" t="str">
        <f t="shared" si="1"/>
        <v/>
      </c>
      <c r="E14" s="244"/>
      <c r="F14" s="244"/>
      <c r="G14" s="134" t="str">
        <f t="shared" si="2"/>
        <v/>
      </c>
      <c r="H14" s="146" t="str">
        <f t="shared" si="3"/>
        <v/>
      </c>
      <c r="I14" s="151"/>
      <c r="J14" s="151"/>
      <c r="K14" s="151"/>
      <c r="L14" s="146">
        <f t="shared" si="4"/>
        <v>0</v>
      </c>
    </row>
    <row r="15" spans="1:16">
      <c r="A15" s="148">
        <v>10</v>
      </c>
      <c r="B15" s="150"/>
      <c r="C15" s="149" t="str">
        <f t="shared" si="0"/>
        <v/>
      </c>
      <c r="D15" s="149" t="str">
        <f t="shared" si="1"/>
        <v/>
      </c>
      <c r="E15" s="244"/>
      <c r="F15" s="244"/>
      <c r="G15" s="134" t="str">
        <f t="shared" si="2"/>
        <v/>
      </c>
      <c r="H15" s="146" t="str">
        <f t="shared" si="3"/>
        <v/>
      </c>
      <c r="I15" s="151"/>
      <c r="J15" s="151"/>
      <c r="K15" s="151"/>
      <c r="L15" s="146">
        <f t="shared" si="4"/>
        <v>0</v>
      </c>
    </row>
    <row r="16" spans="1:16">
      <c r="A16" s="148">
        <v>11</v>
      </c>
      <c r="B16" s="150"/>
      <c r="C16" s="149" t="str">
        <f t="shared" si="0"/>
        <v/>
      </c>
      <c r="D16" s="149" t="str">
        <f t="shared" si="1"/>
        <v/>
      </c>
      <c r="E16" s="244"/>
      <c r="F16" s="244"/>
      <c r="G16" s="134" t="str">
        <f t="shared" si="2"/>
        <v/>
      </c>
      <c r="H16" s="146" t="str">
        <f t="shared" si="3"/>
        <v/>
      </c>
      <c r="I16" s="151"/>
      <c r="J16" s="151"/>
      <c r="K16" s="151"/>
      <c r="L16" s="146">
        <f t="shared" si="4"/>
        <v>0</v>
      </c>
    </row>
    <row r="17" spans="1:12">
      <c r="A17" s="148">
        <v>12</v>
      </c>
      <c r="B17" s="150"/>
      <c r="C17" s="149" t="str">
        <f t="shared" si="0"/>
        <v/>
      </c>
      <c r="D17" s="149" t="str">
        <f t="shared" si="1"/>
        <v/>
      </c>
      <c r="E17" s="244"/>
      <c r="F17" s="244"/>
      <c r="G17" s="134" t="str">
        <f t="shared" si="2"/>
        <v/>
      </c>
      <c r="H17" s="146" t="str">
        <f t="shared" si="3"/>
        <v/>
      </c>
      <c r="I17" s="151"/>
      <c r="J17" s="151"/>
      <c r="K17" s="151"/>
      <c r="L17" s="146">
        <f t="shared" si="4"/>
        <v>0</v>
      </c>
    </row>
    <row r="18" spans="1:12">
      <c r="A18" s="148">
        <v>13</v>
      </c>
      <c r="B18" s="150"/>
      <c r="C18" s="149" t="str">
        <f t="shared" si="0"/>
        <v/>
      </c>
      <c r="D18" s="149" t="str">
        <f t="shared" si="1"/>
        <v/>
      </c>
      <c r="E18" s="244"/>
      <c r="F18" s="244"/>
      <c r="G18" s="134" t="str">
        <f t="shared" si="2"/>
        <v/>
      </c>
      <c r="H18" s="146" t="str">
        <f t="shared" si="3"/>
        <v/>
      </c>
      <c r="I18" s="151"/>
      <c r="J18" s="151"/>
      <c r="K18" s="151"/>
      <c r="L18" s="146">
        <f t="shared" si="4"/>
        <v>0</v>
      </c>
    </row>
    <row r="19" spans="1:12">
      <c r="A19" s="148">
        <v>14</v>
      </c>
      <c r="B19" s="150"/>
      <c r="C19" s="149" t="str">
        <f t="shared" si="0"/>
        <v/>
      </c>
      <c r="D19" s="149" t="str">
        <f t="shared" si="1"/>
        <v/>
      </c>
      <c r="E19" s="244"/>
      <c r="F19" s="244"/>
      <c r="G19" s="134" t="str">
        <f t="shared" si="2"/>
        <v/>
      </c>
      <c r="H19" s="146" t="str">
        <f t="shared" si="3"/>
        <v/>
      </c>
      <c r="I19" s="151"/>
      <c r="J19" s="151"/>
      <c r="K19" s="151"/>
      <c r="L19" s="146">
        <f t="shared" si="4"/>
        <v>0</v>
      </c>
    </row>
    <row r="20" spans="1:12">
      <c r="A20" s="148">
        <v>15</v>
      </c>
      <c r="B20" s="150"/>
      <c r="C20" s="149" t="str">
        <f t="shared" si="0"/>
        <v/>
      </c>
      <c r="D20" s="149" t="str">
        <f t="shared" si="1"/>
        <v/>
      </c>
      <c r="E20" s="244"/>
      <c r="F20" s="244"/>
      <c r="G20" s="134" t="str">
        <f t="shared" si="2"/>
        <v/>
      </c>
      <c r="H20" s="146" t="str">
        <f t="shared" si="3"/>
        <v/>
      </c>
      <c r="I20" s="151"/>
      <c r="J20" s="151"/>
      <c r="K20" s="151"/>
      <c r="L20" s="146">
        <f t="shared" si="4"/>
        <v>0</v>
      </c>
    </row>
    <row r="21" spans="1:12">
      <c r="A21" s="148">
        <v>16</v>
      </c>
      <c r="B21" s="150"/>
      <c r="C21" s="149" t="str">
        <f t="shared" si="0"/>
        <v/>
      </c>
      <c r="D21" s="149" t="str">
        <f t="shared" si="1"/>
        <v/>
      </c>
      <c r="E21" s="244"/>
      <c r="F21" s="244"/>
      <c r="G21" s="134" t="str">
        <f t="shared" si="2"/>
        <v/>
      </c>
      <c r="H21" s="146" t="str">
        <f t="shared" si="3"/>
        <v/>
      </c>
      <c r="I21" s="151"/>
      <c r="J21" s="151"/>
      <c r="K21" s="151"/>
      <c r="L21" s="146">
        <f t="shared" si="4"/>
        <v>0</v>
      </c>
    </row>
    <row r="22" spans="1:12">
      <c r="A22" s="148">
        <v>17</v>
      </c>
      <c r="B22" s="150"/>
      <c r="C22" s="149" t="str">
        <f t="shared" si="0"/>
        <v/>
      </c>
      <c r="D22" s="149" t="str">
        <f t="shared" si="1"/>
        <v/>
      </c>
      <c r="E22" s="244"/>
      <c r="F22" s="244"/>
      <c r="G22" s="134" t="str">
        <f t="shared" si="2"/>
        <v/>
      </c>
      <c r="H22" s="146" t="str">
        <f t="shared" si="3"/>
        <v/>
      </c>
      <c r="I22" s="151"/>
      <c r="J22" s="151"/>
      <c r="K22" s="151"/>
      <c r="L22" s="146">
        <f t="shared" si="4"/>
        <v>0</v>
      </c>
    </row>
    <row r="23" spans="1:12">
      <c r="A23" s="148">
        <v>18</v>
      </c>
      <c r="B23" s="150"/>
      <c r="C23" s="149" t="str">
        <f t="shared" si="0"/>
        <v/>
      </c>
      <c r="D23" s="149" t="str">
        <f t="shared" si="1"/>
        <v/>
      </c>
      <c r="E23" s="244"/>
      <c r="F23" s="244"/>
      <c r="G23" s="134" t="str">
        <f t="shared" si="2"/>
        <v/>
      </c>
      <c r="H23" s="146" t="str">
        <f t="shared" si="3"/>
        <v/>
      </c>
      <c r="I23" s="151"/>
      <c r="J23" s="151"/>
      <c r="K23" s="151"/>
      <c r="L23" s="146">
        <f t="shared" si="4"/>
        <v>0</v>
      </c>
    </row>
    <row r="24" spans="1:12">
      <c r="A24" s="148">
        <v>19</v>
      </c>
      <c r="B24" s="150"/>
      <c r="C24" s="149" t="str">
        <f t="shared" si="0"/>
        <v/>
      </c>
      <c r="D24" s="149" t="str">
        <f t="shared" si="1"/>
        <v/>
      </c>
      <c r="E24" s="244"/>
      <c r="F24" s="244"/>
      <c r="G24" s="134" t="str">
        <f t="shared" si="2"/>
        <v/>
      </c>
      <c r="H24" s="146" t="str">
        <f t="shared" si="3"/>
        <v/>
      </c>
      <c r="I24" s="151"/>
      <c r="J24" s="151"/>
      <c r="K24" s="151"/>
      <c r="L24" s="146">
        <f t="shared" si="4"/>
        <v>0</v>
      </c>
    </row>
    <row r="25" spans="1:12">
      <c r="A25" s="148">
        <v>20</v>
      </c>
      <c r="B25" s="150"/>
      <c r="C25" s="149" t="str">
        <f t="shared" si="0"/>
        <v/>
      </c>
      <c r="D25" s="149" t="str">
        <f t="shared" si="1"/>
        <v/>
      </c>
      <c r="E25" s="244"/>
      <c r="F25" s="244"/>
      <c r="G25" s="134" t="str">
        <f t="shared" si="2"/>
        <v/>
      </c>
      <c r="H25" s="146" t="str">
        <f t="shared" si="3"/>
        <v/>
      </c>
      <c r="I25" s="151"/>
      <c r="J25" s="151"/>
      <c r="K25" s="151"/>
      <c r="L25" s="146">
        <f t="shared" si="4"/>
        <v>0</v>
      </c>
    </row>
    <row r="26" spans="1:12">
      <c r="A26" s="148">
        <v>21</v>
      </c>
      <c r="B26" s="150"/>
      <c r="C26" s="149" t="str">
        <f t="shared" si="0"/>
        <v/>
      </c>
      <c r="D26" s="149" t="str">
        <f t="shared" si="1"/>
        <v/>
      </c>
      <c r="E26" s="244"/>
      <c r="F26" s="244"/>
      <c r="G26" s="134" t="str">
        <f t="shared" si="2"/>
        <v/>
      </c>
      <c r="H26" s="146" t="str">
        <f t="shared" si="3"/>
        <v/>
      </c>
      <c r="I26" s="151"/>
      <c r="J26" s="151"/>
      <c r="K26" s="151"/>
      <c r="L26" s="146">
        <f t="shared" si="4"/>
        <v>0</v>
      </c>
    </row>
    <row r="27" spans="1:12">
      <c r="A27" s="148">
        <v>22</v>
      </c>
      <c r="B27" s="150"/>
      <c r="C27" s="149" t="str">
        <f t="shared" si="0"/>
        <v/>
      </c>
      <c r="D27" s="149" t="str">
        <f t="shared" si="1"/>
        <v/>
      </c>
      <c r="E27" s="244"/>
      <c r="F27" s="244"/>
      <c r="G27" s="134" t="str">
        <f t="shared" si="2"/>
        <v/>
      </c>
      <c r="H27" s="146" t="str">
        <f t="shared" si="3"/>
        <v/>
      </c>
      <c r="I27" s="151"/>
      <c r="J27" s="151"/>
      <c r="K27" s="151"/>
      <c r="L27" s="146">
        <f t="shared" si="4"/>
        <v>0</v>
      </c>
    </row>
    <row r="28" spans="1:12">
      <c r="A28" s="148">
        <v>23</v>
      </c>
      <c r="B28" s="150"/>
      <c r="C28" s="149" t="str">
        <f t="shared" si="0"/>
        <v/>
      </c>
      <c r="D28" s="149" t="str">
        <f t="shared" si="1"/>
        <v/>
      </c>
      <c r="E28" s="244"/>
      <c r="F28" s="244"/>
      <c r="G28" s="134" t="str">
        <f t="shared" si="2"/>
        <v/>
      </c>
      <c r="H28" s="146" t="str">
        <f t="shared" si="3"/>
        <v/>
      </c>
      <c r="I28" s="151"/>
      <c r="J28" s="151"/>
      <c r="K28" s="151"/>
      <c r="L28" s="146">
        <f t="shared" si="4"/>
        <v>0</v>
      </c>
    </row>
    <row r="29" spans="1:12">
      <c r="A29" s="148">
        <v>24</v>
      </c>
      <c r="B29" s="150"/>
      <c r="C29" s="149" t="str">
        <f t="shared" si="0"/>
        <v/>
      </c>
      <c r="D29" s="149" t="str">
        <f t="shared" si="1"/>
        <v/>
      </c>
      <c r="E29" s="244"/>
      <c r="F29" s="244"/>
      <c r="G29" s="134" t="str">
        <f t="shared" si="2"/>
        <v/>
      </c>
      <c r="H29" s="146" t="str">
        <f t="shared" si="3"/>
        <v/>
      </c>
      <c r="I29" s="151"/>
      <c r="J29" s="151"/>
      <c r="K29" s="151"/>
      <c r="L29" s="146">
        <f t="shared" si="4"/>
        <v>0</v>
      </c>
    </row>
    <row r="30" spans="1:12">
      <c r="A30" s="148">
        <v>25</v>
      </c>
      <c r="B30" s="150"/>
      <c r="C30" s="149" t="str">
        <f t="shared" si="0"/>
        <v/>
      </c>
      <c r="D30" s="149" t="str">
        <f t="shared" si="1"/>
        <v/>
      </c>
      <c r="E30" s="244"/>
      <c r="F30" s="244"/>
      <c r="G30" s="134" t="str">
        <f t="shared" si="2"/>
        <v/>
      </c>
      <c r="H30" s="146" t="str">
        <f t="shared" si="3"/>
        <v/>
      </c>
      <c r="I30" s="151"/>
      <c r="J30" s="151"/>
      <c r="K30" s="151"/>
      <c r="L30" s="146">
        <f t="shared" si="4"/>
        <v>0</v>
      </c>
    </row>
    <row r="31" spans="1:12">
      <c r="A31" s="148">
        <v>26</v>
      </c>
      <c r="B31" s="150"/>
      <c r="C31" s="149" t="str">
        <f t="shared" si="0"/>
        <v/>
      </c>
      <c r="D31" s="149" t="str">
        <f t="shared" si="1"/>
        <v/>
      </c>
      <c r="E31" s="244"/>
      <c r="F31" s="244"/>
      <c r="G31" s="134" t="str">
        <f t="shared" si="2"/>
        <v/>
      </c>
      <c r="H31" s="146" t="str">
        <f t="shared" si="3"/>
        <v/>
      </c>
      <c r="I31" s="151"/>
      <c r="J31" s="151"/>
      <c r="K31" s="151"/>
      <c r="L31" s="146">
        <f t="shared" si="4"/>
        <v>0</v>
      </c>
    </row>
    <row r="32" spans="1:12">
      <c r="A32" s="148">
        <v>27</v>
      </c>
      <c r="B32" s="150"/>
      <c r="C32" s="149" t="str">
        <f t="shared" si="0"/>
        <v/>
      </c>
      <c r="D32" s="149" t="str">
        <f t="shared" si="1"/>
        <v/>
      </c>
      <c r="E32" s="244"/>
      <c r="F32" s="244"/>
      <c r="G32" s="134" t="str">
        <f t="shared" si="2"/>
        <v/>
      </c>
      <c r="H32" s="146" t="str">
        <f t="shared" si="3"/>
        <v/>
      </c>
      <c r="I32" s="151"/>
      <c r="J32" s="151"/>
      <c r="K32" s="151"/>
      <c r="L32" s="146">
        <f t="shared" si="4"/>
        <v>0</v>
      </c>
    </row>
    <row r="33" spans="1:12">
      <c r="A33" s="148">
        <v>28</v>
      </c>
      <c r="B33" s="150"/>
      <c r="C33" s="149" t="str">
        <f t="shared" si="0"/>
        <v/>
      </c>
      <c r="D33" s="149" t="str">
        <f t="shared" si="1"/>
        <v/>
      </c>
      <c r="E33" s="244"/>
      <c r="F33" s="244"/>
      <c r="G33" s="134" t="str">
        <f t="shared" si="2"/>
        <v/>
      </c>
      <c r="H33" s="146" t="str">
        <f t="shared" si="3"/>
        <v/>
      </c>
      <c r="I33" s="151"/>
      <c r="J33" s="151"/>
      <c r="K33" s="151"/>
      <c r="L33" s="146">
        <f t="shared" si="4"/>
        <v>0</v>
      </c>
    </row>
    <row r="34" spans="1:12">
      <c r="A34" s="148">
        <v>29</v>
      </c>
      <c r="B34" s="150"/>
      <c r="C34" s="149" t="str">
        <f t="shared" si="0"/>
        <v/>
      </c>
      <c r="D34" s="149" t="str">
        <f t="shared" si="1"/>
        <v/>
      </c>
      <c r="E34" s="244"/>
      <c r="F34" s="244"/>
      <c r="G34" s="134" t="str">
        <f t="shared" si="2"/>
        <v/>
      </c>
      <c r="H34" s="146" t="str">
        <f t="shared" si="3"/>
        <v/>
      </c>
      <c r="I34" s="151"/>
      <c r="J34" s="151"/>
      <c r="K34" s="151"/>
      <c r="L34" s="146">
        <f t="shared" si="4"/>
        <v>0</v>
      </c>
    </row>
    <row r="35" spans="1:12">
      <c r="A35" s="148">
        <v>30</v>
      </c>
      <c r="B35" s="150"/>
      <c r="C35" s="149" t="str">
        <f t="shared" si="0"/>
        <v/>
      </c>
      <c r="D35" s="149" t="str">
        <f t="shared" si="1"/>
        <v/>
      </c>
      <c r="E35" s="244"/>
      <c r="F35" s="244"/>
      <c r="G35" s="134" t="str">
        <f t="shared" si="2"/>
        <v/>
      </c>
      <c r="H35" s="146" t="str">
        <f t="shared" si="3"/>
        <v/>
      </c>
      <c r="I35" s="151"/>
      <c r="J35" s="151"/>
      <c r="K35" s="151"/>
      <c r="L35" s="146">
        <f t="shared" si="4"/>
        <v>0</v>
      </c>
    </row>
    <row r="36" spans="1:12">
      <c r="A36" s="148">
        <v>31</v>
      </c>
      <c r="B36" s="150"/>
      <c r="C36" s="149" t="str">
        <f t="shared" si="0"/>
        <v/>
      </c>
      <c r="D36" s="149" t="str">
        <f t="shared" si="1"/>
        <v/>
      </c>
      <c r="E36" s="244"/>
      <c r="F36" s="244"/>
      <c r="G36" s="134" t="str">
        <f t="shared" si="2"/>
        <v/>
      </c>
      <c r="H36" s="146" t="str">
        <f t="shared" si="3"/>
        <v/>
      </c>
      <c r="I36" s="151"/>
      <c r="J36" s="151"/>
      <c r="K36" s="151"/>
      <c r="L36" s="146">
        <f t="shared" si="4"/>
        <v>0</v>
      </c>
    </row>
    <row r="37" spans="1:12">
      <c r="A37" s="148">
        <v>32</v>
      </c>
      <c r="B37" s="150"/>
      <c r="C37" s="149" t="str">
        <f t="shared" si="0"/>
        <v/>
      </c>
      <c r="D37" s="149" t="str">
        <f t="shared" si="1"/>
        <v/>
      </c>
      <c r="E37" s="244"/>
      <c r="F37" s="244"/>
      <c r="G37" s="134" t="str">
        <f t="shared" si="2"/>
        <v/>
      </c>
      <c r="H37" s="146" t="str">
        <f t="shared" si="3"/>
        <v/>
      </c>
      <c r="I37" s="151"/>
      <c r="J37" s="151"/>
      <c r="K37" s="151"/>
      <c r="L37" s="146">
        <f t="shared" si="4"/>
        <v>0</v>
      </c>
    </row>
    <row r="38" spans="1:12">
      <c r="A38" s="148">
        <v>33</v>
      </c>
      <c r="B38" s="150"/>
      <c r="C38" s="149" t="str">
        <f t="shared" si="0"/>
        <v/>
      </c>
      <c r="D38" s="149" t="str">
        <f t="shared" si="1"/>
        <v/>
      </c>
      <c r="E38" s="244"/>
      <c r="F38" s="244"/>
      <c r="G38" s="134" t="str">
        <f t="shared" si="2"/>
        <v/>
      </c>
      <c r="H38" s="146" t="str">
        <f t="shared" si="3"/>
        <v/>
      </c>
      <c r="I38" s="151"/>
      <c r="J38" s="151"/>
      <c r="K38" s="151"/>
      <c r="L38" s="146">
        <f t="shared" si="4"/>
        <v>0</v>
      </c>
    </row>
    <row r="39" spans="1:12">
      <c r="A39" s="148">
        <v>34</v>
      </c>
      <c r="B39" s="150"/>
      <c r="C39" s="149" t="str">
        <f t="shared" si="0"/>
        <v/>
      </c>
      <c r="D39" s="149" t="str">
        <f t="shared" si="1"/>
        <v/>
      </c>
      <c r="E39" s="244"/>
      <c r="F39" s="244"/>
      <c r="G39" s="134" t="str">
        <f t="shared" si="2"/>
        <v/>
      </c>
      <c r="H39" s="146" t="str">
        <f t="shared" si="3"/>
        <v/>
      </c>
      <c r="I39" s="151"/>
      <c r="J39" s="151"/>
      <c r="K39" s="151"/>
      <c r="L39" s="146">
        <f t="shared" si="4"/>
        <v>0</v>
      </c>
    </row>
    <row r="40" spans="1:12">
      <c r="A40" s="148">
        <v>35</v>
      </c>
      <c r="B40" s="150"/>
      <c r="C40" s="149" t="str">
        <f t="shared" si="0"/>
        <v/>
      </c>
      <c r="D40" s="149" t="str">
        <f t="shared" si="1"/>
        <v/>
      </c>
      <c r="E40" s="244"/>
      <c r="F40" s="244"/>
      <c r="G40" s="134" t="str">
        <f t="shared" si="2"/>
        <v/>
      </c>
      <c r="H40" s="146" t="str">
        <f t="shared" si="3"/>
        <v/>
      </c>
      <c r="I40" s="151"/>
      <c r="J40" s="151"/>
      <c r="K40" s="151"/>
      <c r="L40" s="146">
        <f t="shared" si="4"/>
        <v>0</v>
      </c>
    </row>
    <row r="41" spans="1:12">
      <c r="A41" s="148">
        <v>36</v>
      </c>
      <c r="B41" s="150"/>
      <c r="C41" s="149" t="str">
        <f t="shared" si="0"/>
        <v/>
      </c>
      <c r="D41" s="149" t="str">
        <f t="shared" si="1"/>
        <v/>
      </c>
      <c r="E41" s="244"/>
      <c r="F41" s="244"/>
      <c r="G41" s="134" t="str">
        <f t="shared" si="2"/>
        <v/>
      </c>
      <c r="H41" s="146" t="str">
        <f t="shared" si="3"/>
        <v/>
      </c>
      <c r="I41" s="151"/>
      <c r="J41" s="151"/>
      <c r="K41" s="151"/>
      <c r="L41" s="146">
        <f t="shared" si="4"/>
        <v>0</v>
      </c>
    </row>
    <row r="42" spans="1:12">
      <c r="A42" s="148">
        <v>37</v>
      </c>
      <c r="B42" s="150"/>
      <c r="C42" s="149" t="str">
        <f t="shared" si="0"/>
        <v/>
      </c>
      <c r="D42" s="149" t="str">
        <f t="shared" si="1"/>
        <v/>
      </c>
      <c r="E42" s="244"/>
      <c r="F42" s="244"/>
      <c r="G42" s="134" t="str">
        <f t="shared" si="2"/>
        <v/>
      </c>
      <c r="H42" s="146" t="str">
        <f t="shared" si="3"/>
        <v/>
      </c>
      <c r="I42" s="151"/>
      <c r="J42" s="151"/>
      <c r="K42" s="151"/>
      <c r="L42" s="146">
        <f t="shared" si="4"/>
        <v>0</v>
      </c>
    </row>
    <row r="43" spans="1:12">
      <c r="A43" s="148">
        <v>38</v>
      </c>
      <c r="B43" s="150"/>
      <c r="C43" s="149" t="str">
        <f t="shared" si="0"/>
        <v/>
      </c>
      <c r="D43" s="149" t="str">
        <f t="shared" si="1"/>
        <v/>
      </c>
      <c r="E43" s="244"/>
      <c r="F43" s="244"/>
      <c r="G43" s="134" t="str">
        <f t="shared" si="2"/>
        <v/>
      </c>
      <c r="H43" s="146" t="str">
        <f t="shared" si="3"/>
        <v/>
      </c>
      <c r="I43" s="151"/>
      <c r="J43" s="151"/>
      <c r="K43" s="151"/>
      <c r="L43" s="146">
        <f t="shared" si="4"/>
        <v>0</v>
      </c>
    </row>
    <row r="44" spans="1:12">
      <c r="A44" s="94"/>
      <c r="B44" s="94"/>
      <c r="C44" s="145"/>
      <c r="D44" s="145"/>
    </row>
    <row r="45" spans="1:12">
      <c r="A45" s="94"/>
      <c r="B45" s="94"/>
      <c r="C45" s="145"/>
      <c r="D45" s="145"/>
    </row>
    <row r="46" spans="1:12">
      <c r="A46" s="94"/>
      <c r="B46" s="94"/>
      <c r="C46" s="145"/>
      <c r="D46" s="145"/>
    </row>
    <row r="47" spans="1:12">
      <c r="A47" s="94"/>
      <c r="B47" s="94"/>
      <c r="C47" s="145"/>
      <c r="D47" s="145"/>
    </row>
    <row r="48" spans="1:12">
      <c r="A48" s="94"/>
      <c r="B48" s="94"/>
      <c r="C48" s="145"/>
      <c r="D48" s="145"/>
    </row>
    <row r="49" spans="1:4">
      <c r="A49" s="94"/>
      <c r="B49" s="94"/>
      <c r="C49" s="145"/>
      <c r="D49" s="145"/>
    </row>
    <row r="50" spans="1:4">
      <c r="A50" s="94"/>
      <c r="B50" s="94"/>
      <c r="C50" s="145"/>
      <c r="D50" s="145"/>
    </row>
    <row r="51" spans="1:4">
      <c r="A51" s="94"/>
      <c r="B51" s="94"/>
      <c r="C51" s="145"/>
      <c r="D51" s="145"/>
    </row>
    <row r="52" spans="1:4">
      <c r="A52" s="94"/>
      <c r="B52" s="94"/>
      <c r="C52" s="145"/>
      <c r="D52" s="145"/>
    </row>
    <row r="53" spans="1:4">
      <c r="A53" s="94"/>
      <c r="B53" s="94"/>
      <c r="C53" s="145"/>
      <c r="D53" s="145"/>
    </row>
    <row r="54" spans="1:4">
      <c r="A54" s="94"/>
      <c r="B54" s="94"/>
      <c r="C54" s="145"/>
      <c r="D54" s="145"/>
    </row>
    <row r="55" spans="1:4">
      <c r="A55" s="94"/>
      <c r="B55" s="94"/>
      <c r="C55" s="145"/>
      <c r="D55" s="145"/>
    </row>
    <row r="56" spans="1:4">
      <c r="A56" s="94"/>
      <c r="B56" s="94"/>
      <c r="C56" s="145"/>
      <c r="D56" s="145"/>
    </row>
    <row r="57" spans="1:4">
      <c r="A57" s="94"/>
      <c r="B57" s="94"/>
      <c r="C57" s="145"/>
      <c r="D57" s="145"/>
    </row>
    <row r="58" spans="1:4">
      <c r="A58" s="94"/>
      <c r="B58" s="94"/>
      <c r="C58" s="145"/>
      <c r="D58" s="145"/>
    </row>
    <row r="59" spans="1:4">
      <c r="A59" s="94"/>
      <c r="B59" s="94"/>
      <c r="C59" s="145"/>
      <c r="D59" s="145"/>
    </row>
    <row r="60" spans="1:4">
      <c r="A60" s="94"/>
      <c r="B60" s="94"/>
      <c r="C60" s="145"/>
      <c r="D60" s="145"/>
    </row>
    <row r="61" spans="1:4">
      <c r="A61" s="94"/>
      <c r="B61" s="94"/>
      <c r="C61" s="145"/>
      <c r="D61" s="145"/>
    </row>
    <row r="62" spans="1:4">
      <c r="A62" s="94"/>
      <c r="B62" s="94"/>
      <c r="C62" s="145"/>
      <c r="D62" s="145"/>
    </row>
    <row r="63" spans="1:4">
      <c r="A63" s="94"/>
      <c r="B63" s="94"/>
      <c r="C63" s="145"/>
      <c r="D63" s="145"/>
    </row>
    <row r="64" spans="1:4">
      <c r="A64" s="94"/>
      <c r="B64" s="94"/>
      <c r="C64" s="145"/>
      <c r="D64" s="145"/>
    </row>
    <row r="65" spans="1:4">
      <c r="A65" s="94"/>
      <c r="B65" s="94"/>
      <c r="C65" s="145"/>
      <c r="D65" s="145"/>
    </row>
    <row r="66" spans="1:4">
      <c r="A66" s="94"/>
      <c r="B66" s="94"/>
      <c r="C66" s="145"/>
      <c r="D66" s="145"/>
    </row>
    <row r="67" spans="1:4">
      <c r="A67" s="94"/>
      <c r="B67" s="94"/>
      <c r="C67" s="145"/>
      <c r="D67" s="145"/>
    </row>
    <row r="68" spans="1:4">
      <c r="A68" s="94"/>
      <c r="B68" s="94"/>
      <c r="C68" s="145"/>
      <c r="D68" s="145"/>
    </row>
    <row r="69" spans="1:4">
      <c r="A69" s="94"/>
      <c r="B69" s="94"/>
      <c r="C69" s="145"/>
      <c r="D69" s="145"/>
    </row>
    <row r="70" spans="1:4">
      <c r="A70" s="94"/>
      <c r="B70" s="94"/>
      <c r="C70" s="145"/>
      <c r="D70" s="145"/>
    </row>
    <row r="71" spans="1:4">
      <c r="A71" s="94"/>
      <c r="B71" s="94"/>
      <c r="C71" s="145"/>
      <c r="D71" s="145"/>
    </row>
    <row r="72" spans="1:4">
      <c r="A72" s="94"/>
      <c r="B72" s="94"/>
      <c r="C72" s="145"/>
      <c r="D72" s="145"/>
    </row>
    <row r="73" spans="1:4">
      <c r="A73" s="94"/>
      <c r="B73" s="94"/>
      <c r="C73" s="145"/>
      <c r="D73" s="145"/>
    </row>
    <row r="74" spans="1:4">
      <c r="A74" s="94"/>
      <c r="B74" s="94"/>
      <c r="C74" s="145"/>
      <c r="D74" s="145"/>
    </row>
    <row r="75" spans="1:4">
      <c r="A75" s="94"/>
      <c r="B75" s="94"/>
      <c r="C75" s="145"/>
      <c r="D75" s="145"/>
    </row>
    <row r="76" spans="1:4">
      <c r="A76" s="94"/>
      <c r="B76" s="94"/>
      <c r="C76" s="145"/>
      <c r="D76" s="145"/>
    </row>
    <row r="77" spans="1:4">
      <c r="A77" s="94"/>
      <c r="B77" s="94"/>
      <c r="C77" s="145"/>
      <c r="D77" s="145"/>
    </row>
    <row r="78" spans="1:4">
      <c r="A78" s="94"/>
      <c r="B78" s="94"/>
      <c r="C78" s="145"/>
      <c r="D78" s="145"/>
    </row>
    <row r="79" spans="1:4">
      <c r="A79" s="94"/>
      <c r="B79" s="94"/>
      <c r="C79" s="145"/>
      <c r="D79" s="145"/>
    </row>
    <row r="80" spans="1:4">
      <c r="A80" s="94"/>
      <c r="B80" s="94"/>
      <c r="C80" s="145"/>
      <c r="D80" s="145"/>
    </row>
    <row r="81" spans="1:4">
      <c r="A81" s="94"/>
      <c r="B81" s="94"/>
      <c r="C81" s="145"/>
      <c r="D81" s="145"/>
    </row>
    <row r="82" spans="1:4">
      <c r="A82" s="94"/>
      <c r="B82" s="94"/>
      <c r="C82" s="145"/>
      <c r="D82" s="145"/>
    </row>
    <row r="83" spans="1:4">
      <c r="A83" s="94"/>
      <c r="B83" s="94"/>
      <c r="C83" s="145"/>
      <c r="D83" s="145"/>
    </row>
    <row r="84" spans="1:4">
      <c r="A84" s="94"/>
      <c r="B84" s="94"/>
      <c r="C84" s="145"/>
      <c r="D84" s="145"/>
    </row>
    <row r="85" spans="1:4">
      <c r="A85" s="94"/>
      <c r="B85" s="94"/>
      <c r="C85" s="145"/>
      <c r="D85" s="145"/>
    </row>
    <row r="86" spans="1:4">
      <c r="A86" s="94"/>
      <c r="B86" s="94"/>
      <c r="C86" s="145"/>
      <c r="D86" s="145"/>
    </row>
    <row r="87" spans="1:4">
      <c r="A87" s="94"/>
      <c r="B87" s="94"/>
      <c r="C87" s="145"/>
      <c r="D87" s="145"/>
    </row>
    <row r="88" spans="1:4">
      <c r="A88" s="94"/>
      <c r="B88" s="94"/>
      <c r="C88" s="145"/>
      <c r="D88" s="145"/>
    </row>
    <row r="89" spans="1:4">
      <c r="A89" s="94"/>
      <c r="B89" s="94"/>
      <c r="C89" s="145"/>
      <c r="D89" s="145"/>
    </row>
    <row r="90" spans="1:4">
      <c r="A90" s="94"/>
      <c r="B90" s="94"/>
      <c r="C90" s="145"/>
      <c r="D90" s="145"/>
    </row>
    <row r="91" spans="1:4">
      <c r="A91" s="94"/>
      <c r="B91" s="94"/>
      <c r="C91" s="145"/>
      <c r="D91" s="145"/>
    </row>
    <row r="92" spans="1:4">
      <c r="A92" s="94"/>
      <c r="B92" s="94"/>
      <c r="C92" s="145"/>
      <c r="D92" s="145"/>
    </row>
    <row r="93" spans="1:4">
      <c r="A93" s="94"/>
      <c r="B93" s="94"/>
      <c r="C93" s="145"/>
      <c r="D93" s="145"/>
    </row>
    <row r="94" spans="1:4">
      <c r="A94" s="94"/>
      <c r="B94" s="94"/>
      <c r="C94" s="145"/>
      <c r="D94" s="145"/>
    </row>
    <row r="95" spans="1:4">
      <c r="A95" s="94"/>
      <c r="B95" s="94"/>
      <c r="C95" s="145"/>
      <c r="D95" s="145"/>
    </row>
    <row r="96" spans="1:4">
      <c r="A96" s="94"/>
      <c r="B96" s="94"/>
      <c r="C96" s="145"/>
      <c r="D96" s="145"/>
    </row>
    <row r="97" spans="1:4">
      <c r="A97" s="94"/>
      <c r="B97" s="94"/>
      <c r="C97" s="145"/>
      <c r="D97" s="145"/>
    </row>
    <row r="98" spans="1:4">
      <c r="A98" s="94"/>
      <c r="B98" s="94"/>
      <c r="C98" s="145"/>
      <c r="D98" s="145"/>
    </row>
    <row r="99" spans="1:4">
      <c r="A99" s="94"/>
      <c r="B99" s="94"/>
      <c r="C99" s="145"/>
      <c r="D99" s="145"/>
    </row>
    <row r="100" spans="1:4">
      <c r="A100" s="94"/>
      <c r="B100" s="94"/>
      <c r="C100" s="145"/>
      <c r="D100" s="145"/>
    </row>
    <row r="101" spans="1:4">
      <c r="A101" s="94"/>
      <c r="B101" s="94"/>
      <c r="C101" s="145"/>
      <c r="D101" s="145"/>
    </row>
    <row r="102" spans="1:4">
      <c r="A102" s="94"/>
      <c r="B102" s="94"/>
      <c r="C102" s="145"/>
      <c r="D102" s="145"/>
    </row>
    <row r="103" spans="1:4">
      <c r="A103" s="94"/>
      <c r="B103" s="94"/>
      <c r="C103" s="145"/>
      <c r="D103" s="145"/>
    </row>
    <row r="104" spans="1:4">
      <c r="A104" s="94"/>
      <c r="B104" s="94"/>
      <c r="C104" s="145"/>
      <c r="D104" s="145"/>
    </row>
    <row r="105" spans="1:4">
      <c r="A105" s="94"/>
      <c r="B105" s="94"/>
      <c r="C105" s="145"/>
      <c r="D105" s="145"/>
    </row>
    <row r="106" spans="1:4">
      <c r="A106" s="94"/>
      <c r="B106" s="94"/>
      <c r="C106" s="145"/>
      <c r="D106" s="145"/>
    </row>
    <row r="107" spans="1:4">
      <c r="A107" s="94"/>
      <c r="B107" s="94"/>
      <c r="C107" s="145"/>
      <c r="D107" s="145"/>
    </row>
    <row r="108" spans="1:4">
      <c r="A108" s="94"/>
      <c r="B108" s="94"/>
      <c r="C108" s="145"/>
      <c r="D108" s="145"/>
    </row>
    <row r="109" spans="1:4">
      <c r="A109" s="94"/>
      <c r="B109" s="94"/>
      <c r="C109" s="145"/>
      <c r="D109" s="145"/>
    </row>
    <row r="110" spans="1:4">
      <c r="A110" s="94"/>
      <c r="B110" s="94"/>
      <c r="C110" s="145"/>
      <c r="D110" s="145"/>
    </row>
    <row r="111" spans="1:4">
      <c r="A111" s="94"/>
      <c r="B111" s="94"/>
      <c r="C111" s="145"/>
      <c r="D111" s="145"/>
    </row>
    <row r="112" spans="1:4">
      <c r="A112" s="94"/>
      <c r="B112" s="94"/>
      <c r="C112" s="145"/>
      <c r="D112" s="145"/>
    </row>
    <row r="113" spans="1:4">
      <c r="A113" s="94"/>
      <c r="B113" s="94"/>
      <c r="C113" s="145"/>
      <c r="D113" s="145"/>
    </row>
    <row r="114" spans="1:4">
      <c r="A114" s="94"/>
      <c r="B114" s="94"/>
      <c r="C114" s="145"/>
      <c r="D114" s="145"/>
    </row>
    <row r="115" spans="1:4">
      <c r="A115" s="94"/>
      <c r="B115" s="94"/>
      <c r="C115" s="145"/>
      <c r="D115" s="145"/>
    </row>
    <row r="116" spans="1:4">
      <c r="A116" s="94"/>
      <c r="B116" s="94"/>
      <c r="C116" s="145"/>
      <c r="D116" s="145"/>
    </row>
    <row r="117" spans="1:4">
      <c r="A117" s="94"/>
      <c r="B117" s="94"/>
      <c r="C117" s="145"/>
      <c r="D117" s="145"/>
    </row>
    <row r="118" spans="1:4">
      <c r="A118" s="94"/>
      <c r="B118" s="94"/>
      <c r="C118" s="145"/>
      <c r="D118" s="145"/>
    </row>
    <row r="119" spans="1:4">
      <c r="A119" s="94"/>
      <c r="B119" s="94"/>
      <c r="C119" s="145"/>
      <c r="D119" s="145"/>
    </row>
    <row r="120" spans="1:4">
      <c r="A120" s="94"/>
      <c r="B120" s="94"/>
      <c r="C120" s="145"/>
      <c r="D120" s="145"/>
    </row>
    <row r="121" spans="1:4">
      <c r="A121" s="94"/>
      <c r="B121" s="94"/>
      <c r="C121" s="145"/>
      <c r="D121" s="145"/>
    </row>
    <row r="122" spans="1:4">
      <c r="A122" s="94"/>
      <c r="B122" s="94"/>
      <c r="C122" s="145"/>
      <c r="D122" s="145"/>
    </row>
    <row r="123" spans="1:4">
      <c r="A123" s="94"/>
      <c r="B123" s="94"/>
      <c r="C123" s="145"/>
      <c r="D123" s="145"/>
    </row>
    <row r="124" spans="1:4">
      <c r="A124" s="94"/>
      <c r="B124" s="94"/>
      <c r="C124" s="145"/>
      <c r="D124" s="145"/>
    </row>
    <row r="125" spans="1:4">
      <c r="A125" s="94"/>
      <c r="B125" s="94"/>
      <c r="C125" s="145"/>
      <c r="D125" s="145"/>
    </row>
    <row r="126" spans="1:4">
      <c r="A126" s="94"/>
      <c r="B126" s="94"/>
      <c r="C126" s="145"/>
      <c r="D126" s="145"/>
    </row>
    <row r="127" spans="1:4">
      <c r="A127" s="94"/>
      <c r="B127" s="94"/>
      <c r="C127" s="145"/>
      <c r="D127" s="145"/>
    </row>
    <row r="128" spans="1:4">
      <c r="A128" s="94"/>
      <c r="B128" s="94"/>
      <c r="C128" s="145"/>
      <c r="D128" s="145"/>
    </row>
    <row r="129" spans="1:4">
      <c r="A129" s="94"/>
      <c r="B129" s="94"/>
      <c r="C129" s="145"/>
      <c r="D129" s="145"/>
    </row>
    <row r="130" spans="1:4">
      <c r="A130" s="94"/>
      <c r="B130" s="94"/>
      <c r="C130" s="145"/>
      <c r="D130" s="145"/>
    </row>
    <row r="131" spans="1:4">
      <c r="A131" s="94"/>
      <c r="B131" s="94"/>
      <c r="C131" s="145"/>
      <c r="D131" s="145"/>
    </row>
    <row r="132" spans="1:4">
      <c r="A132" s="94"/>
      <c r="B132" s="94"/>
      <c r="C132" s="145"/>
      <c r="D132" s="145"/>
    </row>
    <row r="133" spans="1:4">
      <c r="A133" s="94"/>
      <c r="B133" s="94"/>
      <c r="C133" s="145"/>
      <c r="D133" s="145"/>
    </row>
    <row r="134" spans="1:4">
      <c r="A134" s="94"/>
      <c r="B134" s="94"/>
      <c r="C134" s="145"/>
      <c r="D134" s="145"/>
    </row>
    <row r="135" spans="1:4">
      <c r="A135" s="94"/>
      <c r="B135" s="94"/>
      <c r="C135" s="145"/>
      <c r="D135" s="145"/>
    </row>
    <row r="136" spans="1:4">
      <c r="A136" s="94"/>
      <c r="B136" s="94"/>
      <c r="C136" s="145"/>
      <c r="D136" s="145"/>
    </row>
    <row r="137" spans="1:4">
      <c r="A137" s="94"/>
      <c r="B137" s="94"/>
      <c r="C137" s="145"/>
      <c r="D137" s="145"/>
    </row>
    <row r="138" spans="1:4">
      <c r="A138" s="94"/>
      <c r="B138" s="94"/>
      <c r="C138" s="145"/>
      <c r="D138" s="145"/>
    </row>
    <row r="139" spans="1:4">
      <c r="A139" s="94"/>
      <c r="B139" s="94"/>
      <c r="C139" s="145"/>
      <c r="D139" s="145"/>
    </row>
    <row r="140" spans="1:4">
      <c r="A140" s="94"/>
      <c r="B140" s="94"/>
      <c r="C140" s="145"/>
      <c r="D140" s="145"/>
    </row>
    <row r="141" spans="1:4">
      <c r="A141" s="94"/>
      <c r="B141" s="94"/>
      <c r="C141" s="145"/>
      <c r="D141" s="145"/>
    </row>
    <row r="142" spans="1:4">
      <c r="A142" s="94"/>
      <c r="B142" s="94"/>
      <c r="C142" s="145"/>
      <c r="D142" s="145"/>
    </row>
    <row r="143" spans="1:4">
      <c r="A143" s="94"/>
      <c r="B143" s="94"/>
      <c r="C143" s="145"/>
      <c r="D143" s="145"/>
    </row>
    <row r="144" spans="1:4">
      <c r="A144" s="94"/>
      <c r="B144" s="94"/>
      <c r="C144" s="145"/>
      <c r="D144" s="145"/>
    </row>
    <row r="145" spans="1:4">
      <c r="A145" s="94"/>
      <c r="B145" s="94"/>
      <c r="C145" s="145"/>
      <c r="D145" s="145"/>
    </row>
    <row r="146" spans="1:4">
      <c r="A146" s="94"/>
      <c r="B146" s="94"/>
      <c r="C146" s="145"/>
      <c r="D146" s="145"/>
    </row>
    <row r="147" spans="1:4">
      <c r="A147" s="94"/>
      <c r="B147" s="94"/>
      <c r="C147" s="145"/>
      <c r="D147" s="145"/>
    </row>
    <row r="148" spans="1:4">
      <c r="A148" s="94"/>
      <c r="B148" s="94"/>
      <c r="C148" s="145"/>
      <c r="D148" s="145"/>
    </row>
    <row r="149" spans="1:4">
      <c r="A149" s="94"/>
      <c r="B149" s="94"/>
      <c r="C149" s="145"/>
      <c r="D149" s="145"/>
    </row>
    <row r="150" spans="1:4">
      <c r="A150" s="94"/>
      <c r="B150" s="94"/>
      <c r="C150" s="145"/>
      <c r="D150" s="145"/>
    </row>
    <row r="151" spans="1:4">
      <c r="A151" s="94"/>
      <c r="B151" s="94"/>
      <c r="C151" s="145"/>
      <c r="D151" s="145"/>
    </row>
    <row r="152" spans="1:4">
      <c r="A152" s="94"/>
      <c r="B152" s="94"/>
      <c r="C152" s="145"/>
      <c r="D152" s="145"/>
    </row>
    <row r="153" spans="1:4">
      <c r="A153" s="94"/>
      <c r="B153" s="94"/>
      <c r="C153" s="145"/>
      <c r="D153" s="145"/>
    </row>
    <row r="154" spans="1:4">
      <c r="A154" s="94"/>
      <c r="B154" s="94"/>
      <c r="C154" s="145"/>
      <c r="D154" s="145"/>
    </row>
    <row r="155" spans="1:4">
      <c r="A155" s="94"/>
      <c r="B155" s="94"/>
      <c r="C155" s="145"/>
      <c r="D155" s="145"/>
    </row>
    <row r="156" spans="1:4">
      <c r="A156" s="94"/>
      <c r="B156" s="94"/>
      <c r="C156" s="145"/>
      <c r="D156" s="145"/>
    </row>
    <row r="157" spans="1:4">
      <c r="A157" s="94"/>
      <c r="B157" s="94"/>
      <c r="C157" s="145"/>
      <c r="D157" s="145"/>
    </row>
    <row r="158" spans="1:4">
      <c r="A158" s="94"/>
      <c r="B158" s="94"/>
      <c r="C158" s="145"/>
      <c r="D158" s="145"/>
    </row>
    <row r="159" spans="1:4">
      <c r="A159" s="94"/>
      <c r="B159" s="94"/>
      <c r="C159" s="145"/>
      <c r="D159" s="145"/>
    </row>
    <row r="160" spans="1:4">
      <c r="A160" s="94"/>
      <c r="B160" s="94"/>
      <c r="C160" s="145"/>
      <c r="D160" s="145"/>
    </row>
    <row r="161" spans="1:4">
      <c r="A161" s="94"/>
      <c r="B161" s="94"/>
      <c r="C161" s="145"/>
      <c r="D161" s="145"/>
    </row>
    <row r="162" spans="1:4">
      <c r="A162" s="94"/>
      <c r="B162" s="94"/>
      <c r="C162" s="145"/>
      <c r="D162" s="145"/>
    </row>
    <row r="163" spans="1:4">
      <c r="A163" s="94"/>
      <c r="B163" s="94"/>
      <c r="C163" s="145"/>
      <c r="D163" s="145"/>
    </row>
    <row r="164" spans="1:4">
      <c r="A164" s="94"/>
      <c r="B164" s="94"/>
      <c r="C164" s="145"/>
      <c r="D164" s="145"/>
    </row>
    <row r="165" spans="1:4">
      <c r="A165" s="94"/>
      <c r="B165" s="94"/>
      <c r="C165" s="145"/>
      <c r="D165" s="145"/>
    </row>
    <row r="166" spans="1:4">
      <c r="A166" s="94"/>
      <c r="B166" s="94"/>
      <c r="C166" s="145"/>
      <c r="D166" s="145"/>
    </row>
    <row r="167" spans="1:4">
      <c r="A167" s="94"/>
      <c r="B167" s="94"/>
      <c r="C167" s="145"/>
      <c r="D167" s="145"/>
    </row>
    <row r="168" spans="1:4">
      <c r="A168" s="94"/>
      <c r="B168" s="94"/>
      <c r="C168" s="145"/>
      <c r="D168" s="145"/>
    </row>
    <row r="169" spans="1:4">
      <c r="A169" s="94"/>
      <c r="B169" s="94"/>
      <c r="C169" s="145"/>
      <c r="D169" s="145"/>
    </row>
    <row r="170" spans="1:4">
      <c r="A170" s="94"/>
      <c r="B170" s="94"/>
      <c r="C170" s="145"/>
      <c r="D170" s="145"/>
    </row>
    <row r="171" spans="1:4">
      <c r="A171" s="94"/>
      <c r="B171" s="94"/>
      <c r="C171" s="145"/>
      <c r="D171" s="145"/>
    </row>
    <row r="172" spans="1:4">
      <c r="A172" s="94"/>
      <c r="B172" s="94"/>
      <c r="C172" s="145"/>
      <c r="D172" s="145"/>
    </row>
    <row r="173" spans="1:4">
      <c r="A173" s="94"/>
      <c r="B173" s="94"/>
      <c r="C173" s="145"/>
      <c r="D173" s="145"/>
    </row>
    <row r="174" spans="1:4">
      <c r="A174" s="94"/>
      <c r="B174" s="94"/>
      <c r="C174" s="145"/>
      <c r="D174" s="145"/>
    </row>
    <row r="175" spans="1:4">
      <c r="A175" s="94"/>
      <c r="B175" s="94"/>
      <c r="C175" s="145"/>
      <c r="D175" s="145"/>
    </row>
    <row r="176" spans="1:4">
      <c r="A176" s="94"/>
      <c r="B176" s="94"/>
      <c r="C176" s="145"/>
      <c r="D176" s="145"/>
    </row>
    <row r="177" spans="1:4">
      <c r="A177" s="94"/>
      <c r="B177" s="94"/>
      <c r="C177" s="145"/>
      <c r="D177" s="145"/>
    </row>
    <row r="178" spans="1:4">
      <c r="A178" s="94"/>
      <c r="B178" s="94"/>
      <c r="C178" s="145"/>
      <c r="D178" s="145"/>
    </row>
    <row r="179" spans="1:4">
      <c r="A179" s="94"/>
      <c r="B179" s="94"/>
      <c r="C179" s="145"/>
      <c r="D179" s="145"/>
    </row>
    <row r="180" spans="1:4">
      <c r="A180" s="94"/>
      <c r="B180" s="94"/>
      <c r="C180" s="145"/>
      <c r="D180" s="145"/>
    </row>
    <row r="181" spans="1:4">
      <c r="A181" s="94"/>
      <c r="B181" s="94"/>
      <c r="C181" s="145"/>
      <c r="D181" s="145"/>
    </row>
    <row r="182" spans="1:4">
      <c r="A182" s="94"/>
      <c r="B182" s="94"/>
      <c r="C182" s="145"/>
      <c r="D182" s="145"/>
    </row>
    <row r="183" spans="1:4">
      <c r="A183" s="94"/>
      <c r="B183" s="94"/>
      <c r="C183" s="145"/>
      <c r="D183" s="145"/>
    </row>
    <row r="184" spans="1:4">
      <c r="A184" s="94"/>
      <c r="B184" s="94"/>
      <c r="C184" s="145"/>
      <c r="D184" s="145"/>
    </row>
    <row r="185" spans="1:4">
      <c r="A185" s="94"/>
      <c r="B185" s="94"/>
      <c r="C185" s="145"/>
      <c r="D185" s="145"/>
    </row>
    <row r="186" spans="1:4">
      <c r="A186" s="94"/>
      <c r="B186" s="94"/>
      <c r="C186" s="145"/>
      <c r="D186" s="145"/>
    </row>
    <row r="187" spans="1:4">
      <c r="A187" s="94"/>
      <c r="B187" s="94"/>
      <c r="C187" s="145"/>
      <c r="D187" s="145"/>
    </row>
    <row r="188" spans="1:4">
      <c r="A188" s="94"/>
      <c r="B188" s="94"/>
      <c r="C188" s="145"/>
      <c r="D188" s="145"/>
    </row>
    <row r="189" spans="1:4">
      <c r="A189" s="94"/>
      <c r="B189" s="94"/>
      <c r="C189" s="145"/>
      <c r="D189" s="145"/>
    </row>
    <row r="190" spans="1:4">
      <c r="A190" s="94"/>
      <c r="B190" s="94"/>
      <c r="C190" s="145"/>
      <c r="D190" s="145"/>
    </row>
    <row r="191" spans="1:4">
      <c r="A191" s="94"/>
      <c r="B191" s="94"/>
      <c r="C191" s="145"/>
      <c r="D191" s="145"/>
    </row>
    <row r="192" spans="1:4">
      <c r="A192" s="94"/>
      <c r="B192" s="94"/>
      <c r="C192" s="145"/>
      <c r="D192" s="145"/>
    </row>
    <row r="193" spans="1:4">
      <c r="A193" s="94"/>
      <c r="B193" s="94"/>
      <c r="C193" s="145"/>
      <c r="D193" s="145"/>
    </row>
    <row r="194" spans="1:4">
      <c r="A194" s="94"/>
      <c r="B194" s="94"/>
      <c r="C194" s="145"/>
      <c r="D194" s="145"/>
    </row>
    <row r="195" spans="1:4">
      <c r="A195" s="94"/>
      <c r="B195" s="94"/>
      <c r="C195" s="145"/>
      <c r="D195" s="145"/>
    </row>
    <row r="196" spans="1:4">
      <c r="A196" s="94"/>
      <c r="B196" s="94"/>
      <c r="C196" s="145"/>
      <c r="D196" s="145"/>
    </row>
    <row r="197" spans="1:4">
      <c r="A197" s="94"/>
      <c r="B197" s="94"/>
      <c r="C197" s="145"/>
      <c r="D197" s="145"/>
    </row>
    <row r="198" spans="1:4">
      <c r="A198" s="94"/>
      <c r="B198" s="94"/>
      <c r="C198" s="145"/>
      <c r="D198" s="145"/>
    </row>
    <row r="199" spans="1:4">
      <c r="A199" s="94"/>
      <c r="B199" s="94"/>
      <c r="C199" s="145"/>
      <c r="D199" s="145"/>
    </row>
    <row r="200" spans="1:4">
      <c r="A200" s="94"/>
      <c r="B200" s="94"/>
      <c r="C200" s="145"/>
      <c r="D200" s="145"/>
    </row>
    <row r="201" spans="1:4">
      <c r="A201" s="94"/>
      <c r="B201" s="94"/>
      <c r="C201" s="145"/>
      <c r="D201" s="145"/>
    </row>
    <row r="202" spans="1:4">
      <c r="A202" s="94"/>
      <c r="B202" s="94"/>
      <c r="C202" s="145"/>
      <c r="D202" s="145"/>
    </row>
    <row r="203" spans="1:4">
      <c r="A203" s="94"/>
      <c r="B203" s="94"/>
      <c r="C203" s="145"/>
      <c r="D203" s="145"/>
    </row>
    <row r="204" spans="1:4">
      <c r="A204" s="94"/>
      <c r="B204" s="94"/>
      <c r="C204" s="145"/>
      <c r="D204" s="145"/>
    </row>
    <row r="205" spans="1:4">
      <c r="A205" s="94"/>
      <c r="B205" s="94"/>
      <c r="C205" s="145"/>
      <c r="D205" s="145"/>
    </row>
    <row r="206" spans="1:4">
      <c r="A206" s="94"/>
      <c r="B206" s="94"/>
      <c r="C206" s="145"/>
      <c r="D206" s="145"/>
    </row>
    <row r="207" spans="1:4">
      <c r="A207" s="94"/>
      <c r="B207" s="94"/>
      <c r="C207" s="145"/>
      <c r="D207" s="145"/>
    </row>
    <row r="208" spans="1:4">
      <c r="A208" s="94"/>
      <c r="B208" s="94"/>
      <c r="C208" s="145"/>
      <c r="D208" s="145"/>
    </row>
    <row r="209" spans="1:4">
      <c r="A209" s="94"/>
      <c r="B209" s="94"/>
      <c r="C209" s="145"/>
      <c r="D209" s="145"/>
    </row>
    <row r="210" spans="1:4">
      <c r="A210" s="94"/>
      <c r="B210" s="94"/>
      <c r="C210" s="145"/>
      <c r="D210" s="145"/>
    </row>
    <row r="211" spans="1:4">
      <c r="A211" s="94"/>
      <c r="B211" s="94"/>
      <c r="C211" s="145"/>
      <c r="D211" s="145"/>
    </row>
    <row r="212" spans="1:4">
      <c r="A212" s="94"/>
      <c r="B212" s="94"/>
      <c r="C212" s="145"/>
      <c r="D212" s="145"/>
    </row>
    <row r="213" spans="1:4">
      <c r="A213" s="94"/>
      <c r="B213" s="94"/>
      <c r="C213" s="145"/>
      <c r="D213" s="145"/>
    </row>
    <row r="214" spans="1:4">
      <c r="A214" s="94"/>
      <c r="B214" s="94"/>
      <c r="C214" s="145"/>
      <c r="D214" s="145"/>
    </row>
    <row r="215" spans="1:4">
      <c r="A215" s="94"/>
      <c r="B215" s="94"/>
      <c r="C215" s="145"/>
      <c r="D215" s="145"/>
    </row>
    <row r="216" spans="1:4">
      <c r="A216" s="94"/>
      <c r="B216" s="94"/>
      <c r="C216" s="145"/>
      <c r="D216" s="145"/>
    </row>
    <row r="217" spans="1:4">
      <c r="A217" s="94"/>
      <c r="B217" s="94"/>
      <c r="C217" s="145"/>
      <c r="D217" s="145"/>
    </row>
    <row r="218" spans="1:4">
      <c r="A218" s="94"/>
      <c r="B218" s="94"/>
      <c r="C218" s="145"/>
      <c r="D218" s="145"/>
    </row>
    <row r="219" spans="1:4">
      <c r="A219" s="94"/>
      <c r="B219" s="94"/>
      <c r="C219" s="145"/>
      <c r="D219" s="145"/>
    </row>
    <row r="220" spans="1:4">
      <c r="A220" s="94"/>
      <c r="B220" s="94"/>
      <c r="C220" s="145"/>
      <c r="D220" s="145"/>
    </row>
    <row r="221" spans="1:4">
      <c r="A221" s="94"/>
      <c r="B221" s="94"/>
      <c r="C221" s="145"/>
      <c r="D221" s="145"/>
    </row>
    <row r="222" spans="1:4">
      <c r="A222" s="94"/>
      <c r="B222" s="94"/>
      <c r="C222" s="145"/>
      <c r="D222" s="145"/>
    </row>
    <row r="223" spans="1:4">
      <c r="A223" s="94"/>
      <c r="B223" s="94"/>
      <c r="C223" s="145"/>
      <c r="D223" s="145"/>
    </row>
    <row r="224" spans="1:4">
      <c r="A224" s="94"/>
      <c r="B224" s="94"/>
      <c r="C224" s="145"/>
      <c r="D224" s="145"/>
    </row>
    <row r="225" spans="1:4">
      <c r="A225" s="94"/>
      <c r="B225" s="94"/>
      <c r="C225" s="145"/>
      <c r="D225" s="145"/>
    </row>
    <row r="226" spans="1:4">
      <c r="A226" s="94"/>
      <c r="B226" s="94"/>
      <c r="C226" s="145"/>
      <c r="D226" s="145"/>
    </row>
    <row r="227" spans="1:4">
      <c r="A227" s="94"/>
      <c r="B227" s="94"/>
      <c r="C227" s="145"/>
      <c r="D227" s="145"/>
    </row>
    <row r="228" spans="1:4">
      <c r="A228" s="94"/>
      <c r="B228" s="94"/>
      <c r="C228" s="145"/>
      <c r="D228" s="145"/>
    </row>
    <row r="229" spans="1:4">
      <c r="A229" s="94"/>
      <c r="B229" s="94"/>
      <c r="C229" s="145"/>
      <c r="D229" s="145"/>
    </row>
    <row r="230" spans="1:4">
      <c r="A230" s="94"/>
      <c r="B230" s="94"/>
      <c r="C230" s="145"/>
      <c r="D230" s="145"/>
    </row>
    <row r="231" spans="1:4">
      <c r="A231" s="94"/>
      <c r="B231" s="94"/>
      <c r="C231" s="145"/>
      <c r="D231" s="145"/>
    </row>
    <row r="232" spans="1:4">
      <c r="A232" s="94"/>
      <c r="B232" s="94"/>
      <c r="C232" s="145"/>
      <c r="D232" s="145"/>
    </row>
    <row r="233" spans="1:4">
      <c r="A233" s="94"/>
      <c r="B233" s="94"/>
      <c r="C233" s="145"/>
      <c r="D233" s="145"/>
    </row>
    <row r="234" spans="1:4">
      <c r="A234" s="94"/>
      <c r="B234" s="94"/>
      <c r="C234" s="145"/>
      <c r="D234" s="145"/>
    </row>
    <row r="235" spans="1:4">
      <c r="A235" s="94"/>
      <c r="B235" s="94"/>
      <c r="C235" s="145"/>
      <c r="D235" s="145"/>
    </row>
    <row r="236" spans="1:4">
      <c r="A236" s="94"/>
      <c r="B236" s="94"/>
      <c r="C236" s="145"/>
      <c r="D236" s="145"/>
    </row>
    <row r="237" spans="1:4">
      <c r="A237" s="94"/>
      <c r="B237" s="94"/>
      <c r="C237" s="145"/>
      <c r="D237" s="145"/>
    </row>
    <row r="238" spans="1:4">
      <c r="A238" s="94"/>
      <c r="B238" s="94"/>
      <c r="C238" s="145"/>
      <c r="D238" s="145"/>
    </row>
    <row r="239" spans="1:4">
      <c r="A239" s="94"/>
      <c r="B239" s="94"/>
      <c r="C239" s="145"/>
      <c r="D239" s="145"/>
    </row>
    <row r="240" spans="1:4">
      <c r="A240" s="94"/>
      <c r="B240" s="94"/>
      <c r="C240" s="145"/>
      <c r="D240" s="145"/>
    </row>
    <row r="241" spans="1:4">
      <c r="A241" s="94"/>
      <c r="B241" s="94"/>
      <c r="C241" s="145"/>
      <c r="D241" s="145"/>
    </row>
    <row r="242" spans="1:4">
      <c r="A242" s="94"/>
      <c r="B242" s="94"/>
      <c r="C242" s="145"/>
      <c r="D242" s="145"/>
    </row>
    <row r="243" spans="1:4">
      <c r="A243" s="94"/>
      <c r="B243" s="94"/>
      <c r="C243" s="145"/>
      <c r="D243" s="145"/>
    </row>
    <row r="244" spans="1:4">
      <c r="A244" s="94"/>
      <c r="B244" s="94"/>
      <c r="C244" s="145"/>
      <c r="D244" s="145"/>
    </row>
    <row r="245" spans="1:4">
      <c r="A245" s="94"/>
      <c r="B245" s="94"/>
      <c r="C245" s="145"/>
      <c r="D245" s="145"/>
    </row>
    <row r="246" spans="1:4">
      <c r="A246" s="94"/>
      <c r="B246" s="94"/>
      <c r="C246" s="145"/>
      <c r="D246" s="145"/>
    </row>
    <row r="247" spans="1:4">
      <c r="A247" s="94"/>
      <c r="B247" s="94"/>
      <c r="C247" s="145"/>
      <c r="D247" s="145"/>
    </row>
    <row r="248" spans="1:4">
      <c r="A248" s="94"/>
      <c r="B248" s="94"/>
      <c r="C248" s="145"/>
      <c r="D248" s="145"/>
    </row>
    <row r="249" spans="1:4">
      <c r="A249" s="94"/>
      <c r="B249" s="94"/>
      <c r="C249" s="145"/>
      <c r="D249" s="145"/>
    </row>
    <row r="250" spans="1:4">
      <c r="A250" s="94"/>
      <c r="B250" s="94"/>
      <c r="C250" s="145"/>
      <c r="D250" s="145"/>
    </row>
    <row r="251" spans="1:4">
      <c r="A251" s="94"/>
      <c r="B251" s="94"/>
      <c r="C251" s="145"/>
      <c r="D251" s="145"/>
    </row>
    <row r="252" spans="1:4">
      <c r="A252" s="94"/>
      <c r="B252" s="94"/>
      <c r="C252" s="145"/>
      <c r="D252" s="145"/>
    </row>
    <row r="253" spans="1:4">
      <c r="A253" s="94"/>
      <c r="B253" s="94"/>
      <c r="C253" s="145"/>
      <c r="D253" s="145"/>
    </row>
    <row r="254" spans="1:4">
      <c r="A254" s="94"/>
      <c r="B254" s="94"/>
      <c r="C254" s="145"/>
      <c r="D254" s="145"/>
    </row>
    <row r="255" spans="1:4">
      <c r="A255" s="94"/>
      <c r="B255" s="94"/>
      <c r="C255" s="145"/>
      <c r="D255" s="145"/>
    </row>
    <row r="256" spans="1:4">
      <c r="A256" s="94"/>
      <c r="B256" s="94"/>
      <c r="C256" s="145"/>
      <c r="D256" s="145"/>
    </row>
    <row r="257" spans="1:4">
      <c r="A257" s="94"/>
      <c r="B257" s="94"/>
      <c r="C257" s="145"/>
      <c r="D257" s="145"/>
    </row>
    <row r="258" spans="1:4">
      <c r="A258" s="94"/>
      <c r="B258" s="94"/>
      <c r="C258" s="145"/>
      <c r="D258" s="145"/>
    </row>
    <row r="259" spans="1:4">
      <c r="A259" s="94"/>
      <c r="B259" s="94"/>
      <c r="C259" s="145"/>
      <c r="D259" s="145"/>
    </row>
    <row r="260" spans="1:4">
      <c r="A260" s="94"/>
      <c r="B260" s="94"/>
      <c r="C260" s="145"/>
      <c r="D260" s="145"/>
    </row>
    <row r="261" spans="1:4">
      <c r="A261" s="94"/>
      <c r="B261" s="94"/>
      <c r="C261" s="145"/>
      <c r="D261" s="145"/>
    </row>
    <row r="262" spans="1:4">
      <c r="A262" s="94"/>
      <c r="B262" s="94"/>
      <c r="C262" s="145"/>
      <c r="D262" s="145"/>
    </row>
    <row r="263" spans="1:4">
      <c r="A263" s="94"/>
      <c r="B263" s="94"/>
      <c r="C263" s="145"/>
      <c r="D263" s="145"/>
    </row>
    <row r="264" spans="1:4">
      <c r="A264" s="94"/>
      <c r="B264" s="94"/>
      <c r="C264" s="145"/>
      <c r="D264" s="145"/>
    </row>
    <row r="265" spans="1:4">
      <c r="A265" s="94"/>
      <c r="B265" s="94"/>
      <c r="C265" s="145"/>
      <c r="D265" s="145"/>
    </row>
    <row r="266" spans="1:4">
      <c r="A266" s="94"/>
      <c r="B266" s="94"/>
      <c r="C266" s="145"/>
      <c r="D266" s="145"/>
    </row>
    <row r="267" spans="1:4">
      <c r="A267" s="94"/>
      <c r="B267" s="94"/>
      <c r="C267" s="145"/>
      <c r="D267" s="145"/>
    </row>
    <row r="268" spans="1:4">
      <c r="A268" s="94"/>
      <c r="B268" s="94"/>
      <c r="C268" s="145"/>
      <c r="D268" s="145"/>
    </row>
    <row r="269" spans="1:4">
      <c r="A269" s="94"/>
      <c r="B269" s="94"/>
      <c r="C269" s="145"/>
      <c r="D269" s="145"/>
    </row>
    <row r="270" spans="1:4">
      <c r="A270" s="94"/>
      <c r="B270" s="94"/>
      <c r="C270" s="145"/>
      <c r="D270" s="145"/>
    </row>
    <row r="271" spans="1:4">
      <c r="A271" s="94"/>
      <c r="B271" s="94"/>
      <c r="C271" s="145"/>
      <c r="D271" s="145"/>
    </row>
    <row r="272" spans="1:4">
      <c r="A272" s="94"/>
      <c r="B272" s="94"/>
      <c r="C272" s="145"/>
      <c r="D272" s="145"/>
    </row>
    <row r="273" spans="1:4">
      <c r="A273" s="94"/>
      <c r="B273" s="94"/>
      <c r="C273" s="145"/>
      <c r="D273" s="145"/>
    </row>
    <row r="274" spans="1:4">
      <c r="A274" s="94"/>
      <c r="B274" s="94"/>
      <c r="C274" s="145"/>
      <c r="D274" s="145"/>
    </row>
    <row r="275" spans="1:4">
      <c r="A275" s="94"/>
      <c r="B275" s="94"/>
      <c r="C275" s="145"/>
      <c r="D275" s="145"/>
    </row>
    <row r="276" spans="1:4">
      <c r="A276" s="94"/>
      <c r="B276" s="94"/>
      <c r="C276" s="145"/>
      <c r="D276" s="145"/>
    </row>
    <row r="277" spans="1:4">
      <c r="A277" s="94"/>
      <c r="B277" s="94"/>
      <c r="C277" s="145"/>
      <c r="D277" s="145"/>
    </row>
    <row r="278" spans="1:4">
      <c r="A278" s="94"/>
      <c r="B278" s="94"/>
      <c r="C278" s="145"/>
      <c r="D278" s="145"/>
    </row>
    <row r="279" spans="1:4">
      <c r="A279" s="94"/>
      <c r="B279" s="94"/>
      <c r="C279" s="145"/>
      <c r="D279" s="145"/>
    </row>
    <row r="280" spans="1:4">
      <c r="A280" s="94"/>
      <c r="B280" s="94"/>
      <c r="C280" s="145"/>
      <c r="D280" s="145"/>
    </row>
    <row r="281" spans="1:4">
      <c r="A281" s="94"/>
      <c r="B281" s="94"/>
      <c r="C281" s="145"/>
      <c r="D281" s="145"/>
    </row>
    <row r="282" spans="1:4">
      <c r="A282" s="94"/>
      <c r="B282" s="94"/>
      <c r="C282" s="145"/>
      <c r="D282" s="145"/>
    </row>
    <row r="283" spans="1:4">
      <c r="A283" s="94"/>
      <c r="B283" s="94"/>
      <c r="C283" s="145"/>
      <c r="D283" s="145"/>
    </row>
    <row r="284" spans="1:4">
      <c r="A284" s="94"/>
      <c r="B284" s="94"/>
      <c r="C284" s="145"/>
      <c r="D284" s="145"/>
    </row>
    <row r="285" spans="1:4">
      <c r="A285" s="94"/>
      <c r="B285" s="94"/>
      <c r="C285" s="145"/>
      <c r="D285" s="145"/>
    </row>
    <row r="286" spans="1:4">
      <c r="A286" s="94"/>
      <c r="B286" s="94"/>
      <c r="C286" s="145"/>
      <c r="D286" s="145"/>
    </row>
    <row r="287" spans="1:4">
      <c r="A287" s="94"/>
      <c r="B287" s="94"/>
      <c r="C287" s="145"/>
      <c r="D287" s="145"/>
    </row>
    <row r="288" spans="1:4">
      <c r="A288" s="94"/>
      <c r="B288" s="94"/>
      <c r="C288" s="145"/>
      <c r="D288" s="145"/>
    </row>
    <row r="289" spans="1:4">
      <c r="A289" s="94"/>
      <c r="B289" s="94"/>
      <c r="C289" s="145"/>
      <c r="D289" s="145"/>
    </row>
    <row r="290" spans="1:4">
      <c r="A290" s="94"/>
      <c r="B290" s="94"/>
      <c r="C290" s="145"/>
      <c r="D290" s="145"/>
    </row>
    <row r="291" spans="1:4">
      <c r="A291" s="94"/>
      <c r="B291" s="94"/>
      <c r="C291" s="145"/>
      <c r="D291" s="145"/>
    </row>
    <row r="292" spans="1:4">
      <c r="A292" s="94"/>
      <c r="B292" s="94"/>
      <c r="C292" s="145"/>
      <c r="D292" s="145"/>
    </row>
    <row r="293" spans="1:4">
      <c r="A293" s="94"/>
      <c r="B293" s="94"/>
      <c r="C293" s="145"/>
      <c r="D293" s="145"/>
    </row>
    <row r="294" spans="1:4">
      <c r="A294" s="94"/>
      <c r="B294" s="94"/>
      <c r="C294" s="145"/>
      <c r="D294" s="145"/>
    </row>
    <row r="295" spans="1:4">
      <c r="A295" s="94"/>
      <c r="B295" s="94"/>
      <c r="C295" s="145"/>
      <c r="D295" s="145"/>
    </row>
    <row r="296" spans="1:4">
      <c r="A296" s="94"/>
      <c r="B296" s="94"/>
      <c r="C296" s="145"/>
      <c r="D296" s="145"/>
    </row>
    <row r="297" spans="1:4">
      <c r="A297" s="94"/>
      <c r="B297" s="94"/>
      <c r="C297" s="145"/>
      <c r="D297" s="145"/>
    </row>
    <row r="298" spans="1:4">
      <c r="A298" s="94"/>
      <c r="B298" s="94"/>
      <c r="C298" s="145"/>
      <c r="D298" s="145"/>
    </row>
    <row r="299" spans="1:4">
      <c r="A299" s="94"/>
      <c r="B299" s="94"/>
      <c r="C299" s="145"/>
      <c r="D299" s="145"/>
    </row>
    <row r="300" spans="1:4">
      <c r="A300" s="94"/>
      <c r="B300" s="94"/>
      <c r="C300" s="145"/>
      <c r="D300" s="145"/>
    </row>
    <row r="301" spans="1:4">
      <c r="A301" s="94"/>
      <c r="B301" s="94"/>
      <c r="C301" s="145"/>
      <c r="D301" s="145"/>
    </row>
    <row r="302" spans="1:4">
      <c r="A302" s="94"/>
      <c r="B302" s="94"/>
      <c r="C302" s="145"/>
      <c r="D302" s="145"/>
    </row>
    <row r="303" spans="1:4">
      <c r="A303" s="94"/>
      <c r="B303" s="94"/>
      <c r="C303" s="145"/>
      <c r="D303" s="145"/>
    </row>
    <row r="304" spans="1:4">
      <c r="A304" s="94"/>
      <c r="B304" s="94"/>
      <c r="C304" s="145"/>
      <c r="D304" s="145"/>
    </row>
    <row r="305" spans="1:4">
      <c r="A305" s="94"/>
      <c r="B305" s="94"/>
      <c r="C305" s="145"/>
      <c r="D305" s="145"/>
    </row>
    <row r="306" spans="1:4">
      <c r="A306" s="94"/>
      <c r="B306" s="94"/>
      <c r="C306" s="145"/>
      <c r="D306" s="145"/>
    </row>
    <row r="307" spans="1:4">
      <c r="A307" s="94"/>
      <c r="B307" s="94"/>
      <c r="C307" s="145"/>
      <c r="D307" s="145"/>
    </row>
    <row r="308" spans="1:4">
      <c r="A308" s="94"/>
      <c r="B308" s="94"/>
      <c r="C308" s="145"/>
      <c r="D308" s="145"/>
    </row>
    <row r="309" spans="1:4">
      <c r="A309" s="94"/>
      <c r="B309" s="94"/>
      <c r="C309" s="145"/>
      <c r="D309" s="145"/>
    </row>
    <row r="310" spans="1:4">
      <c r="A310" s="94"/>
      <c r="B310" s="94"/>
      <c r="C310" s="145"/>
      <c r="D310" s="145"/>
    </row>
    <row r="311" spans="1:4">
      <c r="A311" s="94"/>
      <c r="B311" s="94"/>
      <c r="C311" s="145"/>
      <c r="D311" s="145"/>
    </row>
    <row r="312" spans="1:4">
      <c r="A312" s="94"/>
      <c r="B312" s="94"/>
      <c r="C312" s="145"/>
      <c r="D312" s="145"/>
    </row>
    <row r="313" spans="1:4">
      <c r="A313" s="94"/>
      <c r="B313" s="94"/>
      <c r="C313" s="145"/>
      <c r="D313" s="145"/>
    </row>
    <row r="314" spans="1:4">
      <c r="A314" s="94"/>
      <c r="B314" s="94"/>
      <c r="C314" s="145"/>
      <c r="D314" s="145"/>
    </row>
    <row r="315" spans="1:4">
      <c r="A315" s="94"/>
      <c r="B315" s="94"/>
      <c r="C315" s="145"/>
      <c r="D315" s="145"/>
    </row>
    <row r="316" spans="1:4">
      <c r="A316" s="94"/>
      <c r="B316" s="94"/>
      <c r="C316" s="145"/>
      <c r="D316" s="145"/>
    </row>
    <row r="317" spans="1:4">
      <c r="A317" s="94"/>
      <c r="B317" s="94"/>
      <c r="C317" s="145"/>
      <c r="D317" s="145"/>
    </row>
    <row r="318" spans="1:4">
      <c r="A318" s="94"/>
      <c r="B318" s="94"/>
      <c r="C318" s="145"/>
      <c r="D318" s="145"/>
    </row>
    <row r="319" spans="1:4">
      <c r="A319" s="94"/>
      <c r="B319" s="94"/>
      <c r="C319" s="145"/>
      <c r="D319" s="145"/>
    </row>
    <row r="320" spans="1:4">
      <c r="A320" s="94"/>
      <c r="B320" s="94"/>
      <c r="C320" s="145"/>
      <c r="D320" s="145"/>
    </row>
    <row r="321" spans="1:4">
      <c r="A321" s="94"/>
      <c r="B321" s="94"/>
      <c r="C321" s="145"/>
      <c r="D321" s="145"/>
    </row>
    <row r="322" spans="1:4">
      <c r="A322" s="94"/>
      <c r="B322" s="94"/>
      <c r="C322" s="145"/>
      <c r="D322" s="145"/>
    </row>
    <row r="323" spans="1:4">
      <c r="A323" s="94"/>
      <c r="B323" s="94"/>
      <c r="C323" s="145"/>
      <c r="D323" s="145"/>
    </row>
    <row r="324" spans="1:4">
      <c r="A324" s="94"/>
      <c r="B324" s="94"/>
      <c r="C324" s="145"/>
      <c r="D324" s="145"/>
    </row>
    <row r="325" spans="1:4">
      <c r="A325" s="94"/>
      <c r="B325" s="94"/>
      <c r="C325" s="145"/>
      <c r="D325" s="145"/>
    </row>
    <row r="326" spans="1:4">
      <c r="A326" s="94"/>
      <c r="B326" s="94"/>
      <c r="C326" s="145"/>
      <c r="D326" s="145"/>
    </row>
    <row r="327" spans="1:4">
      <c r="A327" s="94"/>
      <c r="B327" s="94"/>
      <c r="C327" s="145"/>
      <c r="D327" s="145"/>
    </row>
    <row r="328" spans="1:4">
      <c r="A328" s="94"/>
      <c r="B328" s="94"/>
      <c r="C328" s="145"/>
      <c r="D328" s="145"/>
    </row>
    <row r="329" spans="1:4">
      <c r="A329" s="94"/>
      <c r="B329" s="94"/>
      <c r="C329" s="145"/>
      <c r="D329" s="145"/>
    </row>
    <row r="330" spans="1:4">
      <c r="A330" s="94"/>
      <c r="B330" s="94"/>
      <c r="C330" s="145"/>
      <c r="D330" s="145"/>
    </row>
    <row r="331" spans="1:4">
      <c r="A331" s="94"/>
      <c r="B331" s="94"/>
      <c r="C331" s="145"/>
      <c r="D331" s="145"/>
    </row>
    <row r="332" spans="1:4">
      <c r="A332" s="94"/>
      <c r="B332" s="94"/>
      <c r="C332" s="145"/>
      <c r="D332" s="145"/>
    </row>
    <row r="333" spans="1:4">
      <c r="A333" s="94"/>
      <c r="B333" s="94"/>
      <c r="C333" s="145"/>
      <c r="D333" s="145"/>
    </row>
    <row r="334" spans="1:4">
      <c r="A334" s="94"/>
      <c r="B334" s="94"/>
      <c r="C334" s="145"/>
      <c r="D334" s="145"/>
    </row>
    <row r="335" spans="1:4">
      <c r="A335" s="94"/>
      <c r="B335" s="94"/>
      <c r="C335" s="145"/>
      <c r="D335" s="145"/>
    </row>
    <row r="336" spans="1:4">
      <c r="A336" s="94"/>
      <c r="B336" s="94"/>
      <c r="C336" s="145"/>
      <c r="D336" s="145"/>
    </row>
    <row r="337" spans="1:4">
      <c r="A337" s="94"/>
      <c r="B337" s="94"/>
      <c r="C337" s="145"/>
      <c r="D337" s="145"/>
    </row>
    <row r="338" spans="1:4">
      <c r="A338" s="94"/>
      <c r="B338" s="94"/>
      <c r="C338" s="145"/>
      <c r="D338" s="145"/>
    </row>
    <row r="339" spans="1:4">
      <c r="A339" s="94"/>
      <c r="B339" s="94"/>
      <c r="C339" s="145"/>
      <c r="D339" s="145"/>
    </row>
    <row r="340" spans="1:4">
      <c r="A340" s="94"/>
      <c r="B340" s="94"/>
      <c r="C340" s="145"/>
      <c r="D340" s="145"/>
    </row>
    <row r="341" spans="1:4">
      <c r="A341" s="94"/>
      <c r="B341" s="94"/>
      <c r="C341" s="145"/>
      <c r="D341" s="145"/>
    </row>
    <row r="342" spans="1:4">
      <c r="A342" s="94"/>
      <c r="B342" s="94"/>
      <c r="C342" s="145"/>
      <c r="D342" s="145"/>
    </row>
    <row r="343" spans="1:4">
      <c r="A343" s="94"/>
      <c r="B343" s="94"/>
      <c r="C343" s="145"/>
      <c r="D343" s="145"/>
    </row>
    <row r="344" spans="1:4">
      <c r="A344" s="94"/>
      <c r="B344" s="94"/>
      <c r="C344" s="145"/>
      <c r="D344" s="145"/>
    </row>
    <row r="345" spans="1:4">
      <c r="A345" s="94"/>
      <c r="B345" s="94"/>
      <c r="C345" s="145"/>
      <c r="D345" s="145"/>
    </row>
    <row r="346" spans="1:4">
      <c r="A346" s="94"/>
      <c r="B346" s="94"/>
      <c r="C346" s="145"/>
      <c r="D346" s="145"/>
    </row>
    <row r="347" spans="1:4">
      <c r="A347" s="94"/>
      <c r="B347" s="94"/>
      <c r="C347" s="145"/>
      <c r="D347" s="145"/>
    </row>
    <row r="348" spans="1:4">
      <c r="A348" s="94"/>
      <c r="B348" s="94"/>
      <c r="C348" s="145"/>
      <c r="D348" s="145"/>
    </row>
    <row r="349" spans="1:4">
      <c r="A349" s="94"/>
      <c r="B349" s="94"/>
      <c r="C349" s="145"/>
      <c r="D349" s="145"/>
    </row>
    <row r="350" spans="1:4">
      <c r="A350" s="94"/>
      <c r="B350" s="94"/>
      <c r="C350" s="145"/>
      <c r="D350" s="145"/>
    </row>
    <row r="351" spans="1:4">
      <c r="A351" s="94"/>
      <c r="B351" s="94"/>
      <c r="C351" s="145"/>
      <c r="D351" s="145"/>
    </row>
    <row r="352" spans="1:4">
      <c r="A352" s="94"/>
      <c r="B352" s="94"/>
      <c r="C352" s="145"/>
      <c r="D352" s="145"/>
    </row>
    <row r="353" spans="1:4">
      <c r="A353" s="94"/>
      <c r="B353" s="94"/>
      <c r="C353" s="145"/>
      <c r="D353" s="145"/>
    </row>
    <row r="354" spans="1:4">
      <c r="A354" s="94"/>
      <c r="B354" s="94"/>
      <c r="C354" s="145"/>
      <c r="D354" s="145"/>
    </row>
    <row r="355" spans="1:4">
      <c r="A355" s="94"/>
      <c r="B355" s="94"/>
      <c r="C355" s="145"/>
      <c r="D355" s="145"/>
    </row>
    <row r="356" spans="1:4">
      <c r="A356" s="94"/>
      <c r="B356" s="94"/>
      <c r="C356" s="145"/>
      <c r="D356" s="145"/>
    </row>
    <row r="357" spans="1:4">
      <c r="A357" s="94"/>
      <c r="B357" s="94"/>
      <c r="C357" s="145"/>
      <c r="D357" s="145"/>
    </row>
    <row r="358" spans="1:4">
      <c r="A358" s="94"/>
      <c r="B358" s="94"/>
      <c r="C358" s="145"/>
      <c r="D358" s="145"/>
    </row>
    <row r="359" spans="1:4">
      <c r="A359" s="94"/>
      <c r="B359" s="94"/>
      <c r="C359" s="145"/>
      <c r="D359" s="145"/>
    </row>
    <row r="360" spans="1:4">
      <c r="A360" s="94"/>
      <c r="B360" s="94"/>
      <c r="C360" s="145"/>
      <c r="D360" s="145"/>
    </row>
    <row r="361" spans="1:4">
      <c r="A361" s="94"/>
      <c r="B361" s="94"/>
      <c r="C361" s="145"/>
      <c r="D361" s="145"/>
    </row>
    <row r="362" spans="1:4">
      <c r="A362" s="94"/>
      <c r="B362" s="94"/>
      <c r="C362" s="145"/>
      <c r="D362" s="145"/>
    </row>
    <row r="363" spans="1:4">
      <c r="A363" s="94"/>
      <c r="B363" s="94"/>
      <c r="C363" s="145"/>
      <c r="D363" s="145"/>
    </row>
    <row r="364" spans="1:4">
      <c r="A364" s="94"/>
      <c r="B364" s="94"/>
      <c r="C364" s="145"/>
      <c r="D364" s="145"/>
    </row>
    <row r="365" spans="1:4">
      <c r="A365" s="94"/>
      <c r="B365" s="94"/>
      <c r="C365" s="145"/>
      <c r="D365" s="145"/>
    </row>
    <row r="366" spans="1:4">
      <c r="A366" s="94"/>
      <c r="B366" s="94"/>
      <c r="C366" s="145"/>
      <c r="D366" s="145"/>
    </row>
    <row r="367" spans="1:4">
      <c r="A367" s="94"/>
      <c r="B367" s="94"/>
      <c r="C367" s="145"/>
      <c r="D367" s="145"/>
    </row>
    <row r="368" spans="1:4">
      <c r="A368" s="94"/>
      <c r="B368" s="94"/>
      <c r="C368" s="145"/>
      <c r="D368" s="145"/>
    </row>
    <row r="369" spans="1:4">
      <c r="A369" s="94"/>
      <c r="B369" s="94"/>
      <c r="C369" s="145"/>
      <c r="D369" s="145"/>
    </row>
    <row r="370" spans="1:4">
      <c r="A370" s="94"/>
      <c r="B370" s="94"/>
      <c r="C370" s="145"/>
      <c r="D370" s="145"/>
    </row>
    <row r="371" spans="1:4">
      <c r="A371" s="94"/>
      <c r="B371" s="94"/>
      <c r="C371" s="145"/>
      <c r="D371" s="145"/>
    </row>
    <row r="372" spans="1:4">
      <c r="A372" s="94"/>
      <c r="B372" s="94"/>
      <c r="C372" s="145"/>
      <c r="D372" s="145"/>
    </row>
    <row r="373" spans="1:4">
      <c r="A373" s="94"/>
      <c r="B373" s="94"/>
      <c r="C373" s="145"/>
      <c r="D373" s="145"/>
    </row>
    <row r="374" spans="1:4">
      <c r="A374" s="94"/>
      <c r="B374" s="94"/>
      <c r="C374" s="145"/>
      <c r="D374" s="145"/>
    </row>
    <row r="375" spans="1:4">
      <c r="A375" s="94"/>
      <c r="B375" s="94"/>
      <c r="C375" s="145"/>
      <c r="D375" s="145"/>
    </row>
    <row r="376" spans="1:4">
      <c r="A376" s="94"/>
      <c r="B376" s="94"/>
      <c r="C376" s="145"/>
      <c r="D376" s="145"/>
    </row>
    <row r="377" spans="1:4">
      <c r="A377" s="94"/>
      <c r="B377" s="94"/>
      <c r="C377" s="145"/>
      <c r="D377" s="145"/>
    </row>
    <row r="378" spans="1:4">
      <c r="A378" s="94"/>
      <c r="B378" s="94"/>
      <c r="C378" s="145"/>
      <c r="D378" s="145"/>
    </row>
    <row r="379" spans="1:4">
      <c r="A379" s="94"/>
      <c r="B379" s="94"/>
      <c r="C379" s="145"/>
      <c r="D379" s="145"/>
    </row>
    <row r="380" spans="1:4">
      <c r="A380" s="94"/>
      <c r="B380" s="94"/>
      <c r="C380" s="145"/>
      <c r="D380" s="145"/>
    </row>
    <row r="381" spans="1:4">
      <c r="A381" s="94"/>
      <c r="B381" s="94"/>
      <c r="C381" s="145"/>
      <c r="D381" s="145"/>
    </row>
    <row r="382" spans="1:4">
      <c r="A382" s="94"/>
      <c r="B382" s="94"/>
      <c r="C382" s="145"/>
      <c r="D382" s="145"/>
    </row>
    <row r="383" spans="1:4">
      <c r="A383" s="94"/>
      <c r="B383" s="94"/>
      <c r="C383" s="145"/>
      <c r="D383" s="145"/>
    </row>
    <row r="384" spans="1:4">
      <c r="A384" s="94"/>
      <c r="B384" s="94"/>
      <c r="C384" s="145"/>
      <c r="D384" s="145"/>
    </row>
    <row r="385" spans="1:4">
      <c r="A385" s="94"/>
      <c r="B385" s="94"/>
      <c r="C385" s="145"/>
      <c r="D385" s="145"/>
    </row>
    <row r="386" spans="1:4">
      <c r="A386" s="94"/>
      <c r="B386" s="94"/>
      <c r="C386" s="145"/>
      <c r="D386" s="145"/>
    </row>
    <row r="387" spans="1:4">
      <c r="A387" s="94"/>
      <c r="B387" s="94"/>
      <c r="C387" s="145"/>
      <c r="D387" s="145"/>
    </row>
    <row r="388" spans="1:4">
      <c r="A388" s="94"/>
      <c r="B388" s="94"/>
      <c r="C388" s="145"/>
      <c r="D388" s="145"/>
    </row>
    <row r="389" spans="1:4">
      <c r="A389" s="94"/>
      <c r="B389" s="94"/>
      <c r="C389" s="145"/>
      <c r="D389" s="145"/>
    </row>
    <row r="390" spans="1:4">
      <c r="A390" s="94"/>
      <c r="B390" s="94"/>
      <c r="C390" s="145"/>
      <c r="D390" s="145"/>
    </row>
    <row r="391" spans="1:4">
      <c r="A391" s="94"/>
      <c r="B391" s="94"/>
      <c r="C391" s="145"/>
      <c r="D391" s="145"/>
    </row>
    <row r="392" spans="1:4">
      <c r="A392" s="94"/>
      <c r="B392" s="94"/>
      <c r="C392" s="145"/>
      <c r="D392" s="145"/>
    </row>
    <row r="393" spans="1:4">
      <c r="A393" s="94"/>
      <c r="B393" s="94"/>
      <c r="C393" s="145"/>
      <c r="D393" s="145"/>
    </row>
    <row r="394" spans="1:4">
      <c r="A394" s="94"/>
      <c r="B394" s="94"/>
      <c r="C394" s="145"/>
      <c r="D394" s="145"/>
    </row>
    <row r="395" spans="1:4">
      <c r="A395" s="94"/>
      <c r="B395" s="94"/>
      <c r="C395" s="145"/>
      <c r="D395" s="145"/>
    </row>
    <row r="396" spans="1:4">
      <c r="A396" s="94"/>
      <c r="B396" s="94"/>
      <c r="C396" s="145"/>
      <c r="D396" s="145"/>
    </row>
    <row r="397" spans="1:4">
      <c r="A397" s="94"/>
      <c r="B397" s="94"/>
      <c r="C397" s="145"/>
      <c r="D397" s="145"/>
    </row>
    <row r="398" spans="1:4">
      <c r="A398" s="94"/>
      <c r="B398" s="94"/>
      <c r="C398" s="145"/>
      <c r="D398" s="145"/>
    </row>
    <row r="399" spans="1:4">
      <c r="A399" s="94"/>
      <c r="B399" s="94"/>
      <c r="C399" s="145"/>
      <c r="D399" s="145"/>
    </row>
    <row r="400" spans="1:4">
      <c r="A400" s="94"/>
      <c r="B400" s="94"/>
      <c r="C400" s="145"/>
      <c r="D400" s="145"/>
    </row>
    <row r="401" spans="1:4">
      <c r="A401" s="94"/>
      <c r="B401" s="94"/>
      <c r="C401" s="145"/>
      <c r="D401" s="145"/>
    </row>
    <row r="402" spans="1:4">
      <c r="A402" s="94"/>
      <c r="B402" s="94"/>
      <c r="C402" s="145"/>
      <c r="D402" s="145"/>
    </row>
    <row r="403" spans="1:4">
      <c r="A403" s="94"/>
      <c r="B403" s="94"/>
      <c r="C403" s="145"/>
      <c r="D403" s="145"/>
    </row>
    <row r="404" spans="1:4">
      <c r="A404" s="94"/>
      <c r="B404" s="94"/>
      <c r="C404" s="145"/>
      <c r="D404" s="145"/>
    </row>
    <row r="405" spans="1:4">
      <c r="A405" s="94"/>
      <c r="B405" s="94"/>
      <c r="C405" s="145"/>
      <c r="D405" s="145"/>
    </row>
    <row r="406" spans="1:4">
      <c r="A406" s="94"/>
      <c r="B406" s="94"/>
      <c r="C406" s="145"/>
      <c r="D406" s="145"/>
    </row>
    <row r="407" spans="1:4">
      <c r="A407" s="94"/>
      <c r="B407" s="94"/>
      <c r="C407" s="145"/>
      <c r="D407" s="145"/>
    </row>
    <row r="408" spans="1:4">
      <c r="A408" s="94"/>
      <c r="B408" s="94"/>
      <c r="C408" s="145"/>
      <c r="D408" s="145"/>
    </row>
    <row r="409" spans="1:4">
      <c r="A409" s="94"/>
      <c r="B409" s="94"/>
      <c r="C409" s="145"/>
      <c r="D409" s="145"/>
    </row>
    <row r="410" spans="1:4">
      <c r="A410" s="94"/>
      <c r="B410" s="94"/>
      <c r="C410" s="145"/>
      <c r="D410" s="145"/>
    </row>
    <row r="411" spans="1:4">
      <c r="A411" s="94"/>
      <c r="B411" s="94"/>
      <c r="C411" s="145"/>
      <c r="D411" s="145"/>
    </row>
    <row r="412" spans="1:4">
      <c r="A412" s="94"/>
      <c r="B412" s="94"/>
      <c r="C412" s="145"/>
      <c r="D412" s="145"/>
    </row>
    <row r="413" spans="1:4">
      <c r="A413" s="94"/>
      <c r="B413" s="94"/>
      <c r="C413" s="145"/>
      <c r="D413" s="145"/>
    </row>
    <row r="414" spans="1:4">
      <c r="A414" s="94"/>
      <c r="B414" s="94"/>
      <c r="C414" s="145"/>
      <c r="D414" s="145"/>
    </row>
    <row r="415" spans="1:4">
      <c r="A415" s="94"/>
      <c r="B415" s="94"/>
      <c r="C415" s="145"/>
      <c r="D415" s="145"/>
    </row>
    <row r="416" spans="1:4">
      <c r="A416" s="94"/>
      <c r="B416" s="94"/>
      <c r="C416" s="145"/>
      <c r="D416" s="145"/>
    </row>
    <row r="417" spans="1:4">
      <c r="A417" s="94"/>
      <c r="B417" s="94"/>
      <c r="C417" s="145"/>
      <c r="D417" s="145"/>
    </row>
    <row r="418" spans="1:4">
      <c r="A418" s="94"/>
      <c r="B418" s="94"/>
      <c r="C418" s="145"/>
      <c r="D418" s="145"/>
    </row>
    <row r="419" spans="1:4">
      <c r="A419" s="94"/>
      <c r="B419" s="94"/>
      <c r="C419" s="145"/>
      <c r="D419" s="145"/>
    </row>
    <row r="420" spans="1:4">
      <c r="A420" s="94"/>
      <c r="B420" s="94"/>
      <c r="C420" s="145"/>
      <c r="D420" s="145"/>
    </row>
    <row r="421" spans="1:4">
      <c r="A421" s="94"/>
      <c r="B421" s="94"/>
      <c r="C421" s="145"/>
      <c r="D421" s="145"/>
    </row>
    <row r="422" spans="1:4">
      <c r="A422" s="94"/>
      <c r="B422" s="94"/>
      <c r="C422" s="145"/>
      <c r="D422" s="145"/>
    </row>
    <row r="423" spans="1:4">
      <c r="A423" s="94"/>
      <c r="B423" s="94"/>
      <c r="C423" s="145"/>
      <c r="D423" s="145"/>
    </row>
    <row r="424" spans="1:4">
      <c r="A424" s="94"/>
      <c r="B424" s="94"/>
      <c r="C424" s="145"/>
      <c r="D424" s="145"/>
    </row>
    <row r="425" spans="1:4">
      <c r="A425" s="94"/>
      <c r="B425" s="94"/>
      <c r="C425" s="145"/>
      <c r="D425" s="145"/>
    </row>
    <row r="426" spans="1:4">
      <c r="A426" s="94"/>
      <c r="B426" s="94"/>
      <c r="C426" s="145"/>
      <c r="D426" s="145"/>
    </row>
    <row r="427" spans="1:4">
      <c r="A427" s="94"/>
      <c r="B427" s="94"/>
      <c r="C427" s="145"/>
      <c r="D427" s="145"/>
    </row>
    <row r="428" spans="1:4">
      <c r="A428" s="94"/>
      <c r="B428" s="94"/>
      <c r="C428" s="145"/>
      <c r="D428" s="145"/>
    </row>
    <row r="429" spans="1:4">
      <c r="A429" s="94"/>
      <c r="B429" s="94"/>
      <c r="C429" s="145"/>
      <c r="D429" s="145"/>
    </row>
    <row r="430" spans="1:4">
      <c r="A430" s="94"/>
      <c r="B430" s="94"/>
      <c r="C430" s="145"/>
      <c r="D430" s="145"/>
    </row>
    <row r="431" spans="1:4">
      <c r="A431" s="94"/>
      <c r="B431" s="94"/>
      <c r="C431" s="145"/>
      <c r="D431" s="145"/>
    </row>
    <row r="432" spans="1:4">
      <c r="A432" s="94"/>
      <c r="B432" s="94"/>
      <c r="C432" s="145"/>
      <c r="D432" s="145"/>
    </row>
    <row r="433" spans="1:4">
      <c r="A433" s="94"/>
      <c r="B433" s="94"/>
      <c r="C433" s="145"/>
      <c r="D433" s="145"/>
    </row>
    <row r="434" spans="1:4">
      <c r="A434" s="94"/>
      <c r="B434" s="94"/>
      <c r="C434" s="145"/>
      <c r="D434" s="145"/>
    </row>
    <row r="435" spans="1:4">
      <c r="A435" s="94"/>
      <c r="B435" s="94"/>
      <c r="C435" s="145"/>
      <c r="D435" s="145"/>
    </row>
    <row r="436" spans="1:4">
      <c r="A436" s="94"/>
      <c r="B436" s="94"/>
      <c r="C436" s="145"/>
      <c r="D436" s="145"/>
    </row>
    <row r="437" spans="1:4">
      <c r="A437" s="94"/>
      <c r="B437" s="94"/>
      <c r="C437" s="145"/>
      <c r="D437" s="145"/>
    </row>
    <row r="438" spans="1:4">
      <c r="A438" s="94"/>
      <c r="B438" s="94"/>
      <c r="C438" s="145"/>
      <c r="D438" s="145"/>
    </row>
    <row r="439" spans="1:4">
      <c r="A439" s="94"/>
      <c r="B439" s="94"/>
      <c r="C439" s="145"/>
      <c r="D439" s="145"/>
    </row>
    <row r="440" spans="1:4">
      <c r="A440" s="94"/>
      <c r="B440" s="94"/>
      <c r="C440" s="145"/>
      <c r="D440" s="145"/>
    </row>
    <row r="441" spans="1:4">
      <c r="A441" s="94"/>
      <c r="B441" s="94"/>
      <c r="C441" s="145"/>
      <c r="D441" s="145"/>
    </row>
    <row r="442" spans="1:4">
      <c r="A442" s="94"/>
      <c r="B442" s="94"/>
      <c r="C442" s="145"/>
      <c r="D442" s="145"/>
    </row>
    <row r="443" spans="1:4">
      <c r="A443" s="94"/>
      <c r="B443" s="94"/>
      <c r="C443" s="145"/>
      <c r="D443" s="145"/>
    </row>
    <row r="444" spans="1:4">
      <c r="A444" s="94"/>
      <c r="B444" s="94"/>
      <c r="C444" s="145"/>
      <c r="D444" s="145"/>
    </row>
    <row r="445" spans="1:4">
      <c r="A445" s="94"/>
      <c r="B445" s="94"/>
      <c r="C445" s="145"/>
      <c r="D445" s="145"/>
    </row>
    <row r="446" spans="1:4">
      <c r="A446" s="94"/>
      <c r="B446" s="94"/>
      <c r="C446" s="145"/>
      <c r="D446" s="145"/>
    </row>
    <row r="447" spans="1:4">
      <c r="A447" s="94"/>
      <c r="B447" s="94"/>
      <c r="C447" s="145"/>
      <c r="D447" s="145"/>
    </row>
    <row r="448" spans="1:4">
      <c r="A448" s="94"/>
      <c r="B448" s="94"/>
      <c r="C448" s="145"/>
      <c r="D448" s="145"/>
    </row>
    <row r="449" spans="1:4">
      <c r="A449" s="94"/>
      <c r="B449" s="94"/>
      <c r="C449" s="145"/>
      <c r="D449" s="145"/>
    </row>
    <row r="450" spans="1:4">
      <c r="A450" s="94"/>
      <c r="B450" s="94"/>
      <c r="C450" s="145"/>
      <c r="D450" s="145"/>
    </row>
    <row r="451" spans="1:4">
      <c r="A451" s="94"/>
      <c r="B451" s="94"/>
      <c r="C451" s="145"/>
      <c r="D451" s="145"/>
    </row>
    <row r="452" spans="1:4">
      <c r="A452" s="94"/>
      <c r="B452" s="94"/>
      <c r="C452" s="145"/>
      <c r="D452" s="145"/>
    </row>
    <row r="453" spans="1:4">
      <c r="A453" s="94"/>
      <c r="B453" s="94"/>
      <c r="C453" s="145"/>
      <c r="D453" s="145"/>
    </row>
    <row r="454" spans="1:4">
      <c r="A454" s="94"/>
      <c r="B454" s="94"/>
      <c r="C454" s="145"/>
      <c r="D454" s="145"/>
    </row>
    <row r="455" spans="1:4">
      <c r="A455" s="94"/>
      <c r="B455" s="94"/>
      <c r="C455" s="145"/>
      <c r="D455" s="145"/>
    </row>
    <row r="456" spans="1:4">
      <c r="A456" s="94"/>
      <c r="B456" s="94"/>
      <c r="C456" s="145"/>
      <c r="D456" s="145"/>
    </row>
    <row r="457" spans="1:4">
      <c r="A457" s="94"/>
      <c r="B457" s="94"/>
      <c r="C457" s="145"/>
      <c r="D457" s="145"/>
    </row>
    <row r="458" spans="1:4">
      <c r="A458" s="94"/>
      <c r="B458" s="94"/>
      <c r="C458" s="145"/>
      <c r="D458" s="145"/>
    </row>
    <row r="459" spans="1:4">
      <c r="A459" s="94"/>
      <c r="B459" s="94"/>
      <c r="C459" s="145"/>
      <c r="D459" s="145"/>
    </row>
    <row r="460" spans="1:4">
      <c r="A460" s="94"/>
      <c r="B460" s="94"/>
      <c r="C460" s="145"/>
      <c r="D460" s="145"/>
    </row>
    <row r="461" spans="1:4">
      <c r="A461" s="94"/>
      <c r="B461" s="94"/>
      <c r="C461" s="145"/>
      <c r="D461" s="145"/>
    </row>
    <row r="462" spans="1:4">
      <c r="A462" s="94"/>
      <c r="B462" s="94"/>
      <c r="C462" s="145"/>
      <c r="D462" s="145"/>
    </row>
    <row r="463" spans="1:4">
      <c r="A463" s="94"/>
      <c r="B463" s="94"/>
      <c r="C463" s="145"/>
      <c r="D463" s="145"/>
    </row>
    <row r="464" spans="1:4">
      <c r="A464" s="94"/>
      <c r="B464" s="94"/>
      <c r="C464" s="145"/>
      <c r="D464" s="145"/>
    </row>
    <row r="465" spans="1:4">
      <c r="A465" s="94"/>
      <c r="B465" s="94"/>
      <c r="C465" s="145"/>
      <c r="D465" s="145"/>
    </row>
    <row r="466" spans="1:4">
      <c r="A466" s="94"/>
      <c r="B466" s="94"/>
      <c r="C466" s="145"/>
      <c r="D466" s="145"/>
    </row>
    <row r="467" spans="1:4">
      <c r="A467" s="94"/>
      <c r="B467" s="94"/>
      <c r="C467" s="145"/>
      <c r="D467" s="145"/>
    </row>
    <row r="468" spans="1:4">
      <c r="A468" s="94"/>
      <c r="B468" s="94"/>
      <c r="C468" s="145"/>
      <c r="D468" s="145"/>
    </row>
    <row r="469" spans="1:4">
      <c r="A469" s="94"/>
      <c r="B469" s="94"/>
      <c r="C469" s="145"/>
      <c r="D469" s="145"/>
    </row>
    <row r="470" spans="1:4">
      <c r="A470" s="94"/>
      <c r="B470" s="94"/>
      <c r="C470" s="145"/>
      <c r="D470" s="145"/>
    </row>
    <row r="471" spans="1:4">
      <c r="A471" s="94"/>
      <c r="B471" s="94"/>
      <c r="C471" s="145"/>
      <c r="D471" s="145"/>
    </row>
    <row r="472" spans="1:4">
      <c r="A472" s="94"/>
      <c r="B472" s="94"/>
      <c r="C472" s="145"/>
      <c r="D472" s="145"/>
    </row>
    <row r="473" spans="1:4">
      <c r="A473" s="94"/>
      <c r="B473" s="94"/>
      <c r="C473" s="145"/>
      <c r="D473" s="145"/>
    </row>
    <row r="474" spans="1:4">
      <c r="A474" s="94"/>
      <c r="B474" s="94"/>
      <c r="C474" s="145"/>
      <c r="D474" s="145"/>
    </row>
    <row r="475" spans="1:4">
      <c r="A475" s="94"/>
      <c r="B475" s="94"/>
      <c r="C475" s="145"/>
      <c r="D475" s="145"/>
    </row>
    <row r="476" spans="1:4">
      <c r="A476" s="94"/>
      <c r="B476" s="94"/>
      <c r="C476" s="145"/>
      <c r="D476" s="145"/>
    </row>
    <row r="477" spans="1:4">
      <c r="A477" s="94"/>
      <c r="B477" s="94"/>
      <c r="C477" s="145"/>
      <c r="D477" s="145"/>
    </row>
    <row r="478" spans="1:4">
      <c r="A478" s="94"/>
      <c r="B478" s="94"/>
      <c r="C478" s="145"/>
      <c r="D478" s="145"/>
    </row>
    <row r="479" spans="1:4">
      <c r="A479" s="94"/>
      <c r="B479" s="94"/>
      <c r="C479" s="145"/>
      <c r="D479" s="145"/>
    </row>
    <row r="480" spans="1:4">
      <c r="A480" s="94"/>
      <c r="B480" s="94"/>
      <c r="C480" s="145"/>
      <c r="D480" s="145"/>
    </row>
    <row r="481" spans="1:4">
      <c r="A481" s="94"/>
      <c r="B481" s="94"/>
      <c r="C481" s="145"/>
      <c r="D481" s="145"/>
    </row>
    <row r="482" spans="1:4">
      <c r="A482" s="94"/>
      <c r="B482" s="94"/>
      <c r="C482" s="145"/>
      <c r="D482" s="145"/>
    </row>
    <row r="483" spans="1:4">
      <c r="A483" s="94"/>
      <c r="B483" s="94"/>
      <c r="C483" s="145"/>
      <c r="D483" s="145"/>
    </row>
    <row r="484" spans="1:4">
      <c r="A484" s="94"/>
      <c r="B484" s="94"/>
      <c r="C484" s="145"/>
      <c r="D484" s="145"/>
    </row>
    <row r="485" spans="1:4">
      <c r="A485" s="94"/>
      <c r="B485" s="94"/>
      <c r="C485" s="145"/>
      <c r="D485" s="145"/>
    </row>
    <row r="486" spans="1:4">
      <c r="A486" s="94"/>
      <c r="B486" s="94"/>
      <c r="C486" s="145"/>
      <c r="D486" s="145"/>
    </row>
    <row r="487" spans="1:4">
      <c r="A487" s="94"/>
      <c r="B487" s="94"/>
      <c r="C487" s="145"/>
      <c r="D487" s="145"/>
    </row>
    <row r="488" spans="1:4">
      <c r="A488" s="94"/>
      <c r="B488" s="94"/>
      <c r="C488" s="145"/>
      <c r="D488" s="145"/>
    </row>
    <row r="489" spans="1:4">
      <c r="A489" s="94"/>
      <c r="B489" s="94"/>
      <c r="C489" s="145"/>
      <c r="D489" s="145"/>
    </row>
    <row r="490" spans="1:4">
      <c r="A490" s="94"/>
      <c r="B490" s="94"/>
      <c r="C490" s="145"/>
      <c r="D490" s="145"/>
    </row>
    <row r="491" spans="1:4">
      <c r="A491" s="94"/>
      <c r="B491" s="94"/>
      <c r="C491" s="145"/>
      <c r="D491" s="145"/>
    </row>
    <row r="492" spans="1:4">
      <c r="A492" s="94"/>
      <c r="B492" s="94"/>
      <c r="C492" s="145"/>
      <c r="D492" s="145"/>
    </row>
    <row r="493" spans="1:4">
      <c r="A493" s="94"/>
      <c r="B493" s="94"/>
      <c r="C493" s="145"/>
      <c r="D493" s="145"/>
    </row>
    <row r="494" spans="1:4">
      <c r="A494" s="94"/>
      <c r="B494" s="94"/>
      <c r="C494" s="145"/>
      <c r="D494" s="145"/>
    </row>
    <row r="495" spans="1:4">
      <c r="A495" s="94"/>
      <c r="B495" s="94"/>
      <c r="C495" s="145"/>
      <c r="D495" s="145"/>
    </row>
    <row r="496" spans="1:4">
      <c r="A496" s="94"/>
      <c r="B496" s="94"/>
      <c r="C496" s="145"/>
      <c r="D496" s="145"/>
    </row>
    <row r="497" spans="1:4">
      <c r="A497" s="94"/>
      <c r="B497" s="94"/>
      <c r="C497" s="145"/>
      <c r="D497" s="145"/>
    </row>
    <row r="498" spans="1:4">
      <c r="A498" s="94"/>
      <c r="B498" s="94"/>
      <c r="C498" s="145"/>
      <c r="D498" s="145"/>
    </row>
    <row r="499" spans="1:4">
      <c r="A499" s="94"/>
      <c r="B499" s="94"/>
      <c r="C499" s="145"/>
      <c r="D499" s="145"/>
    </row>
    <row r="500" spans="1:4">
      <c r="A500" s="94"/>
      <c r="B500" s="94"/>
      <c r="C500" s="145"/>
      <c r="D500" s="145"/>
    </row>
    <row r="501" spans="1:4">
      <c r="A501" s="94"/>
      <c r="B501" s="94"/>
      <c r="C501" s="145"/>
      <c r="D501" s="145"/>
    </row>
    <row r="502" spans="1:4">
      <c r="A502" s="94"/>
      <c r="B502" s="94"/>
      <c r="C502" s="145"/>
      <c r="D502" s="145"/>
    </row>
    <row r="503" spans="1:4">
      <c r="A503" s="94"/>
      <c r="B503" s="94"/>
      <c r="C503" s="145"/>
      <c r="D503" s="145"/>
    </row>
    <row r="504" spans="1:4">
      <c r="A504" s="94"/>
      <c r="B504" s="94"/>
      <c r="C504" s="145"/>
      <c r="D504" s="145"/>
    </row>
    <row r="505" spans="1:4">
      <c r="A505" s="94"/>
      <c r="B505" s="94"/>
      <c r="C505" s="145"/>
      <c r="D505" s="145"/>
    </row>
    <row r="506" spans="1:4">
      <c r="A506" s="94"/>
      <c r="B506" s="94"/>
      <c r="C506" s="145"/>
      <c r="D506" s="145"/>
    </row>
    <row r="507" spans="1:4">
      <c r="A507" s="94"/>
      <c r="B507" s="94"/>
      <c r="C507" s="145"/>
      <c r="D507" s="145"/>
    </row>
    <row r="508" spans="1:4">
      <c r="A508" s="94"/>
      <c r="B508" s="94"/>
      <c r="C508" s="145"/>
      <c r="D508" s="145"/>
    </row>
    <row r="509" spans="1:4">
      <c r="A509" s="94"/>
      <c r="B509" s="94"/>
      <c r="C509" s="145"/>
      <c r="D509" s="145"/>
    </row>
    <row r="510" spans="1:4">
      <c r="A510" s="94"/>
      <c r="B510" s="94"/>
      <c r="C510" s="145"/>
      <c r="D510" s="145"/>
    </row>
    <row r="511" spans="1:4">
      <c r="A511" s="94"/>
      <c r="B511" s="94"/>
      <c r="C511" s="145"/>
      <c r="D511" s="145"/>
    </row>
    <row r="512" spans="1:4">
      <c r="A512" s="94"/>
      <c r="B512" s="94"/>
      <c r="C512" s="145"/>
      <c r="D512" s="145"/>
    </row>
    <row r="513" spans="1:4">
      <c r="A513" s="94"/>
      <c r="B513" s="94"/>
      <c r="C513" s="145"/>
      <c r="D513" s="145"/>
    </row>
    <row r="514" spans="1:4">
      <c r="A514" s="94"/>
      <c r="B514" s="94"/>
      <c r="C514" s="145"/>
      <c r="D514" s="145"/>
    </row>
    <row r="515" spans="1:4">
      <c r="A515" s="94"/>
      <c r="B515" s="94"/>
      <c r="C515" s="145"/>
      <c r="D515" s="145"/>
    </row>
    <row r="516" spans="1:4">
      <c r="A516" s="94"/>
      <c r="B516" s="94"/>
      <c r="C516" s="145"/>
      <c r="D516" s="145"/>
    </row>
    <row r="517" spans="1:4">
      <c r="A517" s="94"/>
      <c r="B517" s="94"/>
      <c r="C517" s="145"/>
      <c r="D517" s="145"/>
    </row>
    <row r="518" spans="1:4">
      <c r="A518" s="94"/>
      <c r="B518" s="94"/>
      <c r="C518" s="145"/>
      <c r="D518" s="145"/>
    </row>
    <row r="519" spans="1:4">
      <c r="A519" s="94"/>
      <c r="B519" s="94"/>
      <c r="C519" s="145"/>
      <c r="D519" s="145"/>
    </row>
    <row r="520" spans="1:4">
      <c r="A520" s="94"/>
      <c r="B520" s="94"/>
      <c r="C520" s="145"/>
      <c r="D520" s="145"/>
    </row>
    <row r="521" spans="1:4">
      <c r="A521" s="94"/>
      <c r="B521" s="94"/>
      <c r="C521" s="145"/>
      <c r="D521" s="145"/>
    </row>
    <row r="522" spans="1:4">
      <c r="A522" s="94"/>
      <c r="B522" s="94"/>
      <c r="C522" s="145"/>
      <c r="D522" s="145"/>
    </row>
    <row r="523" spans="1:4">
      <c r="A523" s="94"/>
      <c r="B523" s="94"/>
      <c r="C523" s="145"/>
      <c r="D523" s="145"/>
    </row>
    <row r="524" spans="1:4">
      <c r="A524" s="94"/>
      <c r="B524" s="94"/>
      <c r="C524" s="145"/>
      <c r="D524" s="145"/>
    </row>
    <row r="525" spans="1:4">
      <c r="A525" s="94"/>
      <c r="B525" s="94"/>
      <c r="C525" s="145"/>
      <c r="D525" s="145"/>
    </row>
    <row r="526" spans="1:4">
      <c r="A526" s="94"/>
      <c r="B526" s="94"/>
      <c r="C526" s="145"/>
      <c r="D526" s="145"/>
    </row>
    <row r="527" spans="1:4">
      <c r="A527" s="94"/>
      <c r="B527" s="94"/>
      <c r="C527" s="145"/>
      <c r="D527" s="145"/>
    </row>
    <row r="528" spans="1:4">
      <c r="A528" s="94"/>
      <c r="B528" s="94"/>
      <c r="C528" s="145"/>
      <c r="D528" s="145"/>
    </row>
    <row r="529" spans="1:4">
      <c r="A529" s="94"/>
      <c r="B529" s="94"/>
      <c r="C529" s="145"/>
      <c r="D529" s="145"/>
    </row>
    <row r="530" spans="1:4">
      <c r="A530" s="94"/>
      <c r="B530" s="94"/>
      <c r="C530" s="145"/>
      <c r="D530" s="145"/>
    </row>
    <row r="531" spans="1:4">
      <c r="A531" s="94"/>
      <c r="B531" s="94"/>
      <c r="C531" s="145"/>
      <c r="D531" s="145"/>
    </row>
    <row r="532" spans="1:4">
      <c r="A532" s="94"/>
      <c r="B532" s="94"/>
      <c r="C532" s="145"/>
      <c r="D532" s="145"/>
    </row>
    <row r="533" spans="1:4">
      <c r="A533" s="94"/>
      <c r="B533" s="94"/>
      <c r="C533" s="145"/>
      <c r="D533" s="145"/>
    </row>
    <row r="534" spans="1:4">
      <c r="A534" s="94"/>
      <c r="B534" s="94"/>
      <c r="C534" s="145"/>
      <c r="D534" s="145"/>
    </row>
    <row r="535" spans="1:4">
      <c r="A535" s="94"/>
      <c r="B535" s="94"/>
      <c r="C535" s="145"/>
      <c r="D535" s="145"/>
    </row>
    <row r="536" spans="1:4">
      <c r="A536" s="94"/>
      <c r="B536" s="94"/>
      <c r="C536" s="145"/>
      <c r="D536" s="145"/>
    </row>
    <row r="537" spans="1:4">
      <c r="A537" s="94"/>
      <c r="B537" s="94"/>
      <c r="C537" s="145"/>
      <c r="D537" s="145"/>
    </row>
    <row r="538" spans="1:4">
      <c r="A538" s="94"/>
      <c r="B538" s="94"/>
      <c r="C538" s="145"/>
      <c r="D538" s="145"/>
    </row>
    <row r="539" spans="1:4">
      <c r="A539" s="94"/>
      <c r="B539" s="94"/>
      <c r="C539" s="145"/>
      <c r="D539" s="145"/>
    </row>
    <row r="540" spans="1:4">
      <c r="A540" s="94"/>
      <c r="B540" s="94"/>
      <c r="C540" s="145"/>
      <c r="D540" s="145"/>
    </row>
    <row r="541" spans="1:4">
      <c r="A541" s="94"/>
      <c r="B541" s="94"/>
      <c r="C541" s="145"/>
      <c r="D541" s="145"/>
    </row>
    <row r="542" spans="1:4">
      <c r="A542" s="94"/>
      <c r="B542" s="94"/>
      <c r="C542" s="145"/>
      <c r="D542" s="145"/>
    </row>
    <row r="543" spans="1:4">
      <c r="A543" s="94"/>
      <c r="B543" s="94"/>
      <c r="C543" s="145"/>
      <c r="D543" s="145"/>
    </row>
    <row r="544" spans="1:4">
      <c r="A544" s="94"/>
      <c r="B544" s="94"/>
      <c r="C544" s="145"/>
      <c r="D544" s="145"/>
    </row>
    <row r="545" spans="1:4">
      <c r="A545" s="94"/>
      <c r="B545" s="94"/>
      <c r="C545" s="145"/>
      <c r="D545" s="145"/>
    </row>
    <row r="546" spans="1:4">
      <c r="A546" s="94"/>
      <c r="B546" s="94"/>
      <c r="C546" s="145"/>
      <c r="D546" s="145"/>
    </row>
    <row r="547" spans="1:4">
      <c r="A547" s="94"/>
      <c r="B547" s="94"/>
      <c r="C547" s="145"/>
      <c r="D547" s="145"/>
    </row>
    <row r="548" spans="1:4">
      <c r="A548" s="94"/>
      <c r="B548" s="94"/>
      <c r="C548" s="145"/>
      <c r="D548" s="145"/>
    </row>
    <row r="549" spans="1:4">
      <c r="A549" s="94"/>
      <c r="B549" s="94"/>
      <c r="C549" s="145"/>
      <c r="D549" s="145"/>
    </row>
    <row r="550" spans="1:4">
      <c r="A550" s="94"/>
      <c r="B550" s="94"/>
      <c r="C550" s="145"/>
      <c r="D550" s="145"/>
    </row>
    <row r="551" spans="1:4">
      <c r="A551" s="94"/>
      <c r="B551" s="94"/>
      <c r="C551" s="145"/>
      <c r="D551" s="145"/>
    </row>
    <row r="552" spans="1:4">
      <c r="A552" s="94"/>
      <c r="B552" s="94"/>
      <c r="C552" s="145"/>
      <c r="D552" s="145"/>
    </row>
    <row r="553" spans="1:4">
      <c r="A553" s="94"/>
      <c r="B553" s="94"/>
      <c r="C553" s="145"/>
      <c r="D553" s="145"/>
    </row>
    <row r="554" spans="1:4">
      <c r="A554" s="94"/>
      <c r="B554" s="94"/>
      <c r="C554" s="145"/>
      <c r="D554" s="145"/>
    </row>
    <row r="555" spans="1:4">
      <c r="A555" s="94"/>
      <c r="B555" s="94"/>
      <c r="C555" s="145"/>
      <c r="D555" s="145"/>
    </row>
    <row r="556" spans="1:4">
      <c r="A556" s="94"/>
      <c r="B556" s="94"/>
      <c r="C556" s="145"/>
      <c r="D556" s="145"/>
    </row>
    <row r="557" spans="1:4">
      <c r="A557" s="94"/>
      <c r="B557" s="94"/>
      <c r="C557" s="145"/>
      <c r="D557" s="145"/>
    </row>
    <row r="558" spans="1:4">
      <c r="A558" s="94"/>
      <c r="B558" s="94"/>
      <c r="C558" s="145"/>
      <c r="D558" s="145"/>
    </row>
    <row r="559" spans="1:4">
      <c r="A559" s="94"/>
      <c r="B559" s="94"/>
      <c r="C559" s="145"/>
      <c r="D559" s="145"/>
    </row>
    <row r="560" spans="1:4">
      <c r="A560" s="94"/>
      <c r="B560" s="94"/>
      <c r="C560" s="145"/>
      <c r="D560" s="145"/>
    </row>
    <row r="561" spans="1:4">
      <c r="A561" s="94"/>
      <c r="B561" s="94"/>
      <c r="C561" s="145"/>
      <c r="D561" s="145"/>
    </row>
    <row r="562" spans="1:4">
      <c r="A562" s="94"/>
      <c r="B562" s="94"/>
      <c r="C562" s="145"/>
      <c r="D562" s="145"/>
    </row>
    <row r="563" spans="1:4">
      <c r="A563" s="94"/>
      <c r="B563" s="94"/>
      <c r="C563" s="145"/>
      <c r="D563" s="145"/>
    </row>
    <row r="564" spans="1:4">
      <c r="A564" s="94"/>
      <c r="B564" s="94"/>
      <c r="C564" s="145"/>
      <c r="D564" s="145"/>
    </row>
    <row r="565" spans="1:4">
      <c r="A565" s="94"/>
      <c r="B565" s="94"/>
      <c r="C565" s="145"/>
      <c r="D565" s="145"/>
    </row>
    <row r="566" spans="1:4">
      <c r="A566" s="94"/>
      <c r="B566" s="94"/>
      <c r="C566" s="145"/>
      <c r="D566" s="145"/>
    </row>
    <row r="567" spans="1:4">
      <c r="A567" s="94"/>
      <c r="B567" s="94"/>
      <c r="C567" s="145"/>
      <c r="D567" s="145"/>
    </row>
    <row r="568" spans="1:4">
      <c r="A568" s="94"/>
      <c r="B568" s="94"/>
      <c r="C568" s="145"/>
      <c r="D568" s="145"/>
    </row>
    <row r="569" spans="1:4">
      <c r="A569" s="94"/>
      <c r="B569" s="94"/>
      <c r="C569" s="145"/>
      <c r="D569" s="145"/>
    </row>
    <row r="570" spans="1:4">
      <c r="A570" s="94"/>
      <c r="B570" s="94"/>
      <c r="C570" s="145"/>
      <c r="D570" s="145"/>
    </row>
    <row r="571" spans="1:4">
      <c r="A571" s="94"/>
      <c r="B571" s="94"/>
      <c r="C571" s="145"/>
      <c r="D571" s="145"/>
    </row>
    <row r="572" spans="1:4">
      <c r="A572" s="94"/>
      <c r="B572" s="94"/>
      <c r="C572" s="145"/>
      <c r="D572" s="145"/>
    </row>
    <row r="573" spans="1:4">
      <c r="A573" s="94"/>
      <c r="B573" s="94"/>
      <c r="C573" s="145"/>
      <c r="D573" s="145"/>
    </row>
    <row r="574" spans="1:4">
      <c r="A574" s="94"/>
      <c r="B574" s="94"/>
      <c r="C574" s="145"/>
      <c r="D574" s="145"/>
    </row>
    <row r="575" spans="1:4">
      <c r="A575" s="94"/>
      <c r="B575" s="94"/>
      <c r="C575" s="145"/>
      <c r="D575" s="145"/>
    </row>
    <row r="576" spans="1:4">
      <c r="A576" s="94"/>
      <c r="B576" s="94"/>
      <c r="C576" s="145"/>
      <c r="D576" s="145"/>
    </row>
    <row r="577" spans="1:4">
      <c r="A577" s="94"/>
      <c r="B577" s="94"/>
      <c r="C577" s="145"/>
      <c r="D577" s="145"/>
    </row>
    <row r="578" spans="1:4">
      <c r="A578" s="94"/>
      <c r="B578" s="94"/>
      <c r="C578" s="145"/>
      <c r="D578" s="145"/>
    </row>
    <row r="579" spans="1:4">
      <c r="A579" s="94"/>
      <c r="B579" s="94"/>
      <c r="C579" s="145"/>
      <c r="D579" s="145"/>
    </row>
    <row r="580" spans="1:4">
      <c r="A580" s="94"/>
      <c r="B580" s="94"/>
      <c r="C580" s="145"/>
      <c r="D580" s="145"/>
    </row>
    <row r="581" spans="1:4">
      <c r="A581" s="94"/>
      <c r="B581" s="94"/>
      <c r="C581" s="145"/>
      <c r="D581" s="145"/>
    </row>
    <row r="582" spans="1:4">
      <c r="A582" s="94"/>
      <c r="B582" s="94"/>
      <c r="C582" s="145"/>
      <c r="D582" s="145"/>
    </row>
    <row r="583" spans="1:4">
      <c r="A583" s="94"/>
      <c r="B583" s="94"/>
      <c r="C583" s="145"/>
      <c r="D583" s="145"/>
    </row>
    <row r="584" spans="1:4">
      <c r="A584" s="94"/>
      <c r="B584" s="94"/>
      <c r="C584" s="145"/>
      <c r="D584" s="145"/>
    </row>
    <row r="585" spans="1:4">
      <c r="A585" s="94"/>
      <c r="B585" s="94"/>
      <c r="C585" s="145"/>
      <c r="D585" s="145"/>
    </row>
    <row r="586" spans="1:4">
      <c r="A586" s="94"/>
      <c r="B586" s="94"/>
      <c r="C586" s="145"/>
      <c r="D586" s="145"/>
    </row>
    <row r="587" spans="1:4">
      <c r="A587" s="94"/>
      <c r="B587" s="94"/>
      <c r="C587" s="145"/>
      <c r="D587" s="145"/>
    </row>
    <row r="588" spans="1:4">
      <c r="A588" s="94"/>
      <c r="B588" s="94"/>
      <c r="C588" s="145"/>
      <c r="D588" s="145"/>
    </row>
    <row r="589" spans="1:4">
      <c r="A589" s="94"/>
      <c r="B589" s="94"/>
      <c r="C589" s="145"/>
      <c r="D589" s="145"/>
    </row>
    <row r="590" spans="1:4">
      <c r="A590" s="94"/>
      <c r="B590" s="94"/>
      <c r="C590" s="145"/>
      <c r="D590" s="145"/>
    </row>
    <row r="591" spans="1:4">
      <c r="A591" s="94"/>
      <c r="B591" s="94"/>
      <c r="C591" s="145"/>
      <c r="D591" s="145"/>
    </row>
    <row r="592" spans="1:4">
      <c r="A592" s="94"/>
      <c r="B592" s="94"/>
      <c r="C592" s="145"/>
      <c r="D592" s="145"/>
    </row>
    <row r="593" spans="1:4">
      <c r="A593" s="94"/>
      <c r="B593" s="94"/>
      <c r="C593" s="145"/>
      <c r="D593" s="145"/>
    </row>
    <row r="594" spans="1:4">
      <c r="A594" s="94"/>
      <c r="B594" s="94"/>
      <c r="C594" s="145"/>
      <c r="D594" s="145"/>
    </row>
    <row r="595" spans="1:4">
      <c r="A595" s="94"/>
      <c r="B595" s="94"/>
      <c r="C595" s="145"/>
      <c r="D595" s="145"/>
    </row>
    <row r="596" spans="1:4">
      <c r="A596" s="94"/>
      <c r="B596" s="94"/>
      <c r="C596" s="145"/>
      <c r="D596" s="145"/>
    </row>
    <row r="597" spans="1:4">
      <c r="A597" s="94"/>
      <c r="B597" s="94"/>
      <c r="C597" s="145"/>
      <c r="D597" s="145"/>
    </row>
    <row r="598" spans="1:4">
      <c r="A598" s="94"/>
      <c r="B598" s="94"/>
      <c r="C598" s="145"/>
      <c r="D598" s="145"/>
    </row>
    <row r="599" spans="1:4">
      <c r="A599" s="94"/>
      <c r="B599" s="94"/>
      <c r="C599" s="145"/>
      <c r="D599" s="145"/>
    </row>
    <row r="600" spans="1:4">
      <c r="A600" s="94"/>
      <c r="B600" s="94"/>
      <c r="C600" s="145"/>
      <c r="D600" s="145"/>
    </row>
    <row r="601" spans="1:4">
      <c r="A601" s="94"/>
      <c r="B601" s="94"/>
      <c r="C601" s="145"/>
      <c r="D601" s="145"/>
    </row>
    <row r="602" spans="1:4">
      <c r="A602" s="94"/>
      <c r="B602" s="94"/>
      <c r="C602" s="145"/>
      <c r="D602" s="145"/>
    </row>
    <row r="603" spans="1:4">
      <c r="A603" s="94"/>
      <c r="B603" s="94"/>
      <c r="C603" s="145"/>
      <c r="D603" s="145"/>
    </row>
    <row r="604" spans="1:4">
      <c r="A604" s="94"/>
      <c r="B604" s="94"/>
      <c r="C604" s="145"/>
      <c r="D604" s="145"/>
    </row>
    <row r="605" spans="1:4">
      <c r="A605" s="94"/>
      <c r="B605" s="94"/>
      <c r="C605" s="145"/>
      <c r="D605" s="145"/>
    </row>
    <row r="606" spans="1:4">
      <c r="A606" s="94"/>
      <c r="B606" s="94"/>
      <c r="C606" s="145"/>
      <c r="D606" s="145"/>
    </row>
    <row r="607" spans="1:4">
      <c r="A607" s="94"/>
      <c r="B607" s="94"/>
      <c r="C607" s="145"/>
      <c r="D607" s="145"/>
    </row>
    <row r="608" spans="1:4">
      <c r="A608" s="94"/>
      <c r="B608" s="94"/>
      <c r="C608" s="145"/>
      <c r="D608" s="145"/>
    </row>
    <row r="609" spans="1:4">
      <c r="A609" s="94"/>
      <c r="B609" s="94"/>
      <c r="C609" s="145"/>
      <c r="D609" s="145"/>
    </row>
    <row r="610" spans="1:4">
      <c r="A610" s="94"/>
      <c r="B610" s="94"/>
      <c r="C610" s="145"/>
      <c r="D610" s="145"/>
    </row>
    <row r="611" spans="1:4">
      <c r="A611" s="94"/>
      <c r="B611" s="94"/>
      <c r="C611" s="145"/>
      <c r="D611" s="145"/>
    </row>
    <row r="612" spans="1:4">
      <c r="A612" s="94"/>
      <c r="B612" s="94"/>
      <c r="C612" s="145"/>
      <c r="D612" s="145"/>
    </row>
    <row r="613" spans="1:4">
      <c r="A613" s="94"/>
      <c r="B613" s="94"/>
      <c r="C613" s="145"/>
      <c r="D613" s="145"/>
    </row>
    <row r="614" spans="1:4">
      <c r="A614" s="94"/>
      <c r="B614" s="94"/>
      <c r="C614" s="145"/>
      <c r="D614" s="145"/>
    </row>
    <row r="615" spans="1:4">
      <c r="A615" s="94"/>
      <c r="B615" s="94"/>
      <c r="C615" s="145"/>
      <c r="D615" s="145"/>
    </row>
    <row r="616" spans="1:4">
      <c r="A616" s="94"/>
      <c r="B616" s="94"/>
      <c r="C616" s="145"/>
      <c r="D616" s="145"/>
    </row>
    <row r="617" spans="1:4">
      <c r="A617" s="94"/>
      <c r="B617" s="94"/>
      <c r="C617" s="145"/>
      <c r="D617" s="145"/>
    </row>
    <row r="618" spans="1:4">
      <c r="A618" s="94"/>
      <c r="B618" s="94"/>
      <c r="C618" s="145"/>
      <c r="D618" s="145"/>
    </row>
    <row r="619" spans="1:4">
      <c r="A619" s="94"/>
      <c r="B619" s="94"/>
      <c r="C619" s="145"/>
      <c r="D619" s="145"/>
    </row>
    <row r="620" spans="1:4">
      <c r="A620" s="94"/>
      <c r="B620" s="94"/>
      <c r="C620" s="145"/>
      <c r="D620" s="145"/>
    </row>
    <row r="621" spans="1:4">
      <c r="A621" s="94"/>
      <c r="B621" s="94"/>
      <c r="C621" s="145"/>
      <c r="D621" s="145"/>
    </row>
    <row r="622" spans="1:4">
      <c r="A622" s="94"/>
      <c r="B622" s="94"/>
      <c r="C622" s="145"/>
      <c r="D622" s="145"/>
    </row>
    <row r="623" spans="1:4">
      <c r="A623" s="94"/>
      <c r="B623" s="94"/>
      <c r="C623" s="145"/>
      <c r="D623" s="145"/>
    </row>
    <row r="624" spans="1:4">
      <c r="A624" s="94"/>
      <c r="B624" s="94"/>
      <c r="C624" s="145"/>
      <c r="D624" s="145"/>
    </row>
    <row r="625" spans="1:4">
      <c r="A625" s="94"/>
      <c r="B625" s="94"/>
      <c r="C625" s="145"/>
      <c r="D625" s="145"/>
    </row>
    <row r="626" spans="1:4">
      <c r="A626" s="94"/>
      <c r="B626" s="94"/>
      <c r="C626" s="145"/>
      <c r="D626" s="145"/>
    </row>
    <row r="627" spans="1:4">
      <c r="A627" s="94"/>
      <c r="B627" s="94"/>
      <c r="C627" s="145"/>
      <c r="D627" s="145"/>
    </row>
    <row r="628" spans="1:4">
      <c r="A628" s="94"/>
      <c r="B628" s="94"/>
      <c r="C628" s="145"/>
      <c r="D628" s="145"/>
    </row>
    <row r="629" spans="1:4">
      <c r="A629" s="94"/>
      <c r="B629" s="94"/>
      <c r="C629" s="145"/>
      <c r="D629" s="145"/>
    </row>
    <row r="630" spans="1:4">
      <c r="A630" s="94"/>
      <c r="B630" s="94"/>
      <c r="C630" s="145"/>
      <c r="D630" s="145"/>
    </row>
    <row r="631" spans="1:4">
      <c r="A631" s="94"/>
      <c r="B631" s="94"/>
      <c r="C631" s="145"/>
      <c r="D631" s="145"/>
    </row>
    <row r="632" spans="1:4">
      <c r="A632" s="94"/>
      <c r="B632" s="94"/>
      <c r="C632" s="145"/>
      <c r="D632" s="145"/>
    </row>
    <row r="633" spans="1:4">
      <c r="A633" s="94"/>
      <c r="B633" s="94"/>
      <c r="C633" s="145"/>
      <c r="D633" s="145"/>
    </row>
    <row r="634" spans="1:4">
      <c r="A634" s="94"/>
      <c r="B634" s="94"/>
      <c r="C634" s="145"/>
      <c r="D634" s="145"/>
    </row>
    <row r="635" spans="1:4">
      <c r="A635" s="94"/>
      <c r="B635" s="94"/>
      <c r="C635" s="145"/>
      <c r="D635" s="145"/>
    </row>
    <row r="636" spans="1:4">
      <c r="A636" s="94"/>
      <c r="B636" s="94"/>
      <c r="C636" s="145"/>
      <c r="D636" s="145"/>
    </row>
    <row r="637" spans="1:4">
      <c r="A637" s="94"/>
      <c r="B637" s="94"/>
      <c r="C637" s="145"/>
      <c r="D637" s="145"/>
    </row>
    <row r="638" spans="1:4">
      <c r="A638" s="94"/>
      <c r="B638" s="94"/>
      <c r="C638" s="145"/>
      <c r="D638" s="145"/>
    </row>
    <row r="639" spans="1:4">
      <c r="A639" s="94"/>
      <c r="B639" s="94"/>
      <c r="C639" s="145"/>
      <c r="D639" s="145"/>
    </row>
    <row r="640" spans="1:4">
      <c r="A640" s="94"/>
      <c r="B640" s="94"/>
      <c r="C640" s="145"/>
      <c r="D640" s="145"/>
    </row>
    <row r="641" spans="1:4">
      <c r="A641" s="94"/>
      <c r="B641" s="94"/>
      <c r="C641" s="145"/>
      <c r="D641" s="145"/>
    </row>
    <row r="642" spans="1:4">
      <c r="A642" s="94"/>
      <c r="B642" s="94"/>
      <c r="C642" s="145"/>
      <c r="D642" s="145"/>
    </row>
    <row r="643" spans="1:4">
      <c r="A643" s="94"/>
      <c r="B643" s="94"/>
      <c r="C643" s="145"/>
      <c r="D643" s="145"/>
    </row>
    <row r="644" spans="1:4">
      <c r="A644" s="94"/>
      <c r="B644" s="94"/>
      <c r="C644" s="145"/>
      <c r="D644" s="145"/>
    </row>
    <row r="645" spans="1:4">
      <c r="A645" s="94"/>
      <c r="B645" s="94"/>
      <c r="C645" s="145"/>
      <c r="D645" s="145"/>
    </row>
    <row r="646" spans="1:4">
      <c r="A646" s="94"/>
      <c r="B646" s="94"/>
      <c r="C646" s="145"/>
      <c r="D646" s="145"/>
    </row>
    <row r="647" spans="1:4">
      <c r="A647" s="94"/>
      <c r="B647" s="94"/>
      <c r="C647" s="145"/>
      <c r="D647" s="145"/>
    </row>
    <row r="648" spans="1:4">
      <c r="A648" s="94"/>
      <c r="B648" s="94"/>
      <c r="C648" s="145"/>
      <c r="D648" s="145"/>
    </row>
    <row r="649" spans="1:4">
      <c r="A649" s="94"/>
      <c r="B649" s="94"/>
      <c r="C649" s="145"/>
      <c r="D649" s="145"/>
    </row>
    <row r="650" spans="1:4">
      <c r="A650" s="94"/>
      <c r="B650" s="94"/>
      <c r="C650" s="145"/>
      <c r="D650" s="145"/>
    </row>
    <row r="651" spans="1:4">
      <c r="A651" s="94"/>
      <c r="B651" s="94"/>
      <c r="C651" s="145"/>
      <c r="D651" s="145"/>
    </row>
    <row r="652" spans="1:4">
      <c r="A652" s="94"/>
      <c r="B652" s="94"/>
      <c r="C652" s="145"/>
      <c r="D652" s="145"/>
    </row>
    <row r="653" spans="1:4">
      <c r="A653" s="94"/>
      <c r="B653" s="94"/>
      <c r="C653" s="145"/>
      <c r="D653" s="145"/>
    </row>
    <row r="654" spans="1:4">
      <c r="A654" s="94"/>
      <c r="B654" s="94"/>
      <c r="C654" s="145"/>
      <c r="D654" s="145"/>
    </row>
    <row r="655" spans="1:4">
      <c r="A655" s="94"/>
      <c r="B655" s="94"/>
      <c r="C655" s="145"/>
      <c r="D655" s="145"/>
    </row>
    <row r="656" spans="1:4">
      <c r="A656" s="94"/>
      <c r="B656" s="94"/>
      <c r="C656" s="145"/>
      <c r="D656" s="145"/>
    </row>
    <row r="657" spans="1:4">
      <c r="A657" s="94"/>
      <c r="B657" s="94"/>
      <c r="C657" s="145"/>
      <c r="D657" s="145"/>
    </row>
    <row r="658" spans="1:4">
      <c r="A658" s="94"/>
      <c r="B658" s="94"/>
      <c r="C658" s="145"/>
      <c r="D658" s="145"/>
    </row>
    <row r="659" spans="1:4">
      <c r="A659" s="94"/>
      <c r="B659" s="94"/>
      <c r="C659" s="145"/>
      <c r="D659" s="145"/>
    </row>
    <row r="660" spans="1:4">
      <c r="A660" s="94"/>
      <c r="B660" s="94"/>
      <c r="C660" s="145"/>
      <c r="D660" s="145"/>
    </row>
    <row r="661" spans="1:4">
      <c r="A661" s="94"/>
      <c r="B661" s="94"/>
      <c r="C661" s="145"/>
      <c r="D661" s="145"/>
    </row>
    <row r="662" spans="1:4">
      <c r="A662" s="94"/>
      <c r="B662" s="94"/>
      <c r="C662" s="145"/>
      <c r="D662" s="145"/>
    </row>
    <row r="663" spans="1:4">
      <c r="A663" s="94"/>
      <c r="B663" s="94"/>
      <c r="C663" s="145"/>
      <c r="D663" s="145"/>
    </row>
    <row r="664" spans="1:4">
      <c r="A664" s="94"/>
      <c r="B664" s="94"/>
      <c r="C664" s="145"/>
      <c r="D664" s="145"/>
    </row>
    <row r="665" spans="1:4">
      <c r="A665" s="94"/>
      <c r="B665" s="94"/>
      <c r="C665" s="145"/>
      <c r="D665" s="145"/>
    </row>
    <row r="666" spans="1:4">
      <c r="A666" s="94"/>
      <c r="B666" s="94"/>
      <c r="C666" s="145"/>
      <c r="D666" s="145"/>
    </row>
    <row r="667" spans="1:4">
      <c r="A667" s="94"/>
      <c r="B667" s="94"/>
      <c r="C667" s="145"/>
      <c r="D667" s="145"/>
    </row>
    <row r="668" spans="1:4">
      <c r="A668" s="94"/>
      <c r="B668" s="94"/>
      <c r="C668" s="145"/>
      <c r="D668" s="145"/>
    </row>
    <row r="669" spans="1:4">
      <c r="A669" s="94"/>
      <c r="B669" s="94"/>
      <c r="C669" s="145"/>
      <c r="D669" s="145"/>
    </row>
    <row r="670" spans="1:4">
      <c r="A670" s="94"/>
      <c r="B670" s="94"/>
      <c r="C670" s="145"/>
      <c r="D670" s="145"/>
    </row>
    <row r="671" spans="1:4">
      <c r="A671" s="94"/>
      <c r="B671" s="94"/>
      <c r="C671" s="145"/>
      <c r="D671" s="145"/>
    </row>
    <row r="672" spans="1:4">
      <c r="A672" s="94"/>
      <c r="B672" s="94"/>
      <c r="C672" s="145"/>
      <c r="D672" s="145"/>
    </row>
    <row r="673" spans="1:4">
      <c r="A673" s="94"/>
      <c r="B673" s="94"/>
      <c r="C673" s="145"/>
      <c r="D673" s="145"/>
    </row>
    <row r="674" spans="1:4">
      <c r="A674" s="94"/>
      <c r="B674" s="94"/>
      <c r="C674" s="145"/>
      <c r="D674" s="145"/>
    </row>
    <row r="675" spans="1:4">
      <c r="A675" s="94"/>
      <c r="B675" s="94"/>
      <c r="C675" s="145"/>
      <c r="D675" s="145"/>
    </row>
    <row r="676" spans="1:4">
      <c r="A676" s="94"/>
      <c r="B676" s="94"/>
      <c r="C676" s="145"/>
      <c r="D676" s="145"/>
    </row>
    <row r="677" spans="1:4">
      <c r="A677" s="94"/>
      <c r="B677" s="94"/>
      <c r="C677" s="145"/>
      <c r="D677" s="145"/>
    </row>
    <row r="678" spans="1:4">
      <c r="A678" s="94"/>
      <c r="B678" s="94"/>
      <c r="C678" s="145"/>
      <c r="D678" s="145"/>
    </row>
    <row r="679" spans="1:4">
      <c r="A679" s="94"/>
      <c r="B679" s="94"/>
      <c r="C679" s="145"/>
      <c r="D679" s="145"/>
    </row>
    <row r="680" spans="1:4">
      <c r="A680" s="94"/>
      <c r="B680" s="94"/>
      <c r="C680" s="145"/>
      <c r="D680" s="145"/>
    </row>
    <row r="681" spans="1:4">
      <c r="A681" s="94"/>
      <c r="B681" s="94"/>
      <c r="C681" s="145"/>
      <c r="D681" s="145"/>
    </row>
    <row r="682" spans="1:4">
      <c r="A682" s="94"/>
      <c r="B682" s="94"/>
      <c r="C682" s="145"/>
      <c r="D682" s="145"/>
    </row>
    <row r="683" spans="1:4">
      <c r="A683" s="94"/>
      <c r="B683" s="94"/>
      <c r="C683" s="145"/>
      <c r="D683" s="145"/>
    </row>
    <row r="684" spans="1:4">
      <c r="A684" s="94"/>
      <c r="B684" s="94"/>
      <c r="C684" s="145"/>
      <c r="D684" s="145"/>
    </row>
    <row r="685" spans="1:4">
      <c r="A685" s="94"/>
      <c r="B685" s="94"/>
      <c r="C685" s="145"/>
      <c r="D685" s="145"/>
    </row>
    <row r="686" spans="1:4">
      <c r="A686" s="94"/>
      <c r="B686" s="94"/>
      <c r="C686" s="145"/>
      <c r="D686" s="145"/>
    </row>
    <row r="687" spans="1:4">
      <c r="A687" s="94"/>
      <c r="B687" s="94"/>
      <c r="C687" s="145"/>
      <c r="D687" s="145"/>
    </row>
    <row r="688" spans="1:4">
      <c r="A688" s="94"/>
      <c r="B688" s="94"/>
      <c r="C688" s="145"/>
      <c r="D688" s="145"/>
    </row>
    <row r="689" spans="1:4">
      <c r="A689" s="94"/>
      <c r="B689" s="94"/>
      <c r="C689" s="145"/>
      <c r="D689" s="145"/>
    </row>
    <row r="690" spans="1:4">
      <c r="A690" s="94"/>
      <c r="B690" s="94"/>
      <c r="C690" s="145"/>
      <c r="D690" s="145"/>
    </row>
    <row r="691" spans="1:4">
      <c r="A691" s="94"/>
      <c r="B691" s="94"/>
      <c r="C691" s="145"/>
      <c r="D691" s="145"/>
    </row>
    <row r="692" spans="1:4">
      <c r="A692" s="94"/>
      <c r="B692" s="94"/>
      <c r="C692" s="145"/>
      <c r="D692" s="145"/>
    </row>
    <row r="693" spans="1:4">
      <c r="A693" s="94"/>
      <c r="B693" s="94"/>
      <c r="C693" s="145"/>
      <c r="D693" s="145"/>
    </row>
    <row r="694" spans="1:4">
      <c r="A694" s="94"/>
      <c r="B694" s="94"/>
      <c r="C694" s="145"/>
      <c r="D694" s="145"/>
    </row>
    <row r="695" spans="1:4">
      <c r="A695" s="94"/>
      <c r="B695" s="94"/>
      <c r="C695" s="145"/>
      <c r="D695" s="145"/>
    </row>
    <row r="696" spans="1:4">
      <c r="A696" s="94"/>
      <c r="B696" s="94"/>
      <c r="C696" s="145"/>
      <c r="D696" s="145"/>
    </row>
    <row r="697" spans="1:4">
      <c r="A697" s="94"/>
      <c r="B697" s="94"/>
      <c r="C697" s="145"/>
      <c r="D697" s="145"/>
    </row>
    <row r="698" spans="1:4">
      <c r="A698" s="94"/>
      <c r="B698" s="94"/>
      <c r="C698" s="145"/>
      <c r="D698" s="145"/>
    </row>
    <row r="699" spans="1:4">
      <c r="A699" s="94"/>
      <c r="B699" s="94"/>
      <c r="C699" s="145"/>
      <c r="D699" s="145"/>
    </row>
    <row r="700" spans="1:4">
      <c r="A700" s="94"/>
      <c r="B700" s="94"/>
      <c r="C700" s="145"/>
      <c r="D700" s="145"/>
    </row>
    <row r="701" spans="1:4">
      <c r="A701" s="94"/>
      <c r="B701" s="94"/>
      <c r="C701" s="145"/>
      <c r="D701" s="145"/>
    </row>
    <row r="702" spans="1:4">
      <c r="A702" s="94"/>
      <c r="B702" s="94"/>
      <c r="C702" s="145"/>
      <c r="D702" s="145"/>
    </row>
    <row r="703" spans="1:4">
      <c r="A703" s="94"/>
      <c r="B703" s="94"/>
      <c r="C703" s="145"/>
      <c r="D703" s="145"/>
    </row>
    <row r="704" spans="1:4">
      <c r="A704" s="94"/>
      <c r="B704" s="94"/>
      <c r="C704" s="145"/>
      <c r="D704" s="145"/>
    </row>
    <row r="705" spans="1:4">
      <c r="A705" s="94"/>
      <c r="B705" s="94"/>
      <c r="C705" s="145"/>
      <c r="D705" s="145"/>
    </row>
    <row r="706" spans="1:4">
      <c r="A706" s="94"/>
      <c r="B706" s="94"/>
      <c r="C706" s="145"/>
      <c r="D706" s="145"/>
    </row>
    <row r="707" spans="1:4">
      <c r="A707" s="94"/>
      <c r="B707" s="94"/>
      <c r="C707" s="145"/>
      <c r="D707" s="145"/>
    </row>
    <row r="708" spans="1:4">
      <c r="A708" s="94"/>
      <c r="B708" s="94"/>
      <c r="C708" s="145"/>
      <c r="D708" s="145"/>
    </row>
    <row r="709" spans="1:4">
      <c r="A709" s="94"/>
      <c r="B709" s="94"/>
      <c r="C709" s="145"/>
      <c r="D709" s="145"/>
    </row>
    <row r="710" spans="1:4">
      <c r="A710" s="94"/>
      <c r="B710" s="94"/>
      <c r="C710" s="145"/>
      <c r="D710" s="145"/>
    </row>
    <row r="711" spans="1:4">
      <c r="A711" s="94"/>
      <c r="B711" s="94"/>
      <c r="C711" s="145"/>
      <c r="D711" s="145"/>
    </row>
    <row r="712" spans="1:4">
      <c r="A712" s="94"/>
      <c r="B712" s="94"/>
      <c r="C712" s="145"/>
      <c r="D712" s="145"/>
    </row>
    <row r="713" spans="1:4">
      <c r="A713" s="94"/>
      <c r="B713" s="94"/>
      <c r="C713" s="145"/>
      <c r="D713" s="145"/>
    </row>
    <row r="714" spans="1:4">
      <c r="A714" s="94"/>
      <c r="B714" s="94"/>
      <c r="C714" s="145"/>
      <c r="D714" s="145"/>
    </row>
    <row r="715" spans="1:4">
      <c r="A715" s="94"/>
      <c r="B715" s="94"/>
      <c r="C715" s="145"/>
      <c r="D715" s="145"/>
    </row>
    <row r="716" spans="1:4">
      <c r="A716" s="94"/>
      <c r="B716" s="94"/>
      <c r="C716" s="145"/>
      <c r="D716" s="145"/>
    </row>
    <row r="717" spans="1:4">
      <c r="A717" s="94"/>
      <c r="B717" s="94"/>
      <c r="C717" s="145"/>
      <c r="D717" s="145"/>
    </row>
    <row r="718" spans="1:4">
      <c r="A718" s="94"/>
      <c r="B718" s="94"/>
      <c r="C718" s="145"/>
      <c r="D718" s="145"/>
    </row>
    <row r="719" spans="1:4">
      <c r="A719" s="94"/>
      <c r="B719" s="94"/>
      <c r="C719" s="145"/>
      <c r="D719" s="145"/>
    </row>
    <row r="720" spans="1:4">
      <c r="A720" s="94"/>
      <c r="B720" s="94"/>
      <c r="C720" s="145"/>
      <c r="D720" s="145"/>
    </row>
    <row r="721" spans="1:4">
      <c r="A721" s="94"/>
      <c r="B721" s="94"/>
      <c r="C721" s="145"/>
      <c r="D721" s="145"/>
    </row>
    <row r="722" spans="1:4">
      <c r="A722" s="94"/>
      <c r="B722" s="94"/>
      <c r="C722" s="145"/>
      <c r="D722" s="145"/>
    </row>
    <row r="723" spans="1:4">
      <c r="A723" s="94"/>
      <c r="B723" s="94"/>
      <c r="C723" s="145"/>
      <c r="D723" s="145"/>
    </row>
    <row r="724" spans="1:4">
      <c r="A724" s="94"/>
      <c r="B724" s="94"/>
      <c r="C724" s="145"/>
      <c r="D724" s="145"/>
    </row>
    <row r="725" spans="1:4">
      <c r="A725" s="94"/>
      <c r="B725" s="94"/>
      <c r="C725" s="145"/>
      <c r="D725" s="145"/>
    </row>
    <row r="726" spans="1:4">
      <c r="A726" s="94"/>
      <c r="B726" s="94"/>
      <c r="C726" s="145"/>
      <c r="D726" s="145"/>
    </row>
    <row r="727" spans="1:4">
      <c r="A727" s="94"/>
      <c r="B727" s="94"/>
      <c r="C727" s="145"/>
      <c r="D727" s="145"/>
    </row>
    <row r="728" spans="1:4">
      <c r="A728" s="94"/>
      <c r="B728" s="94"/>
      <c r="C728" s="145"/>
      <c r="D728" s="145"/>
    </row>
    <row r="729" spans="1:4">
      <c r="A729" s="94"/>
      <c r="B729" s="94"/>
      <c r="C729" s="145"/>
      <c r="D729" s="145"/>
    </row>
    <row r="730" spans="1:4">
      <c r="A730" s="94"/>
      <c r="B730" s="94"/>
      <c r="C730" s="145"/>
      <c r="D730" s="145"/>
    </row>
    <row r="731" spans="1:4">
      <c r="A731" s="94"/>
      <c r="B731" s="94"/>
      <c r="C731" s="145"/>
      <c r="D731" s="145"/>
    </row>
    <row r="732" spans="1:4">
      <c r="A732" s="94"/>
      <c r="B732" s="94"/>
      <c r="C732" s="145"/>
      <c r="D732" s="145"/>
    </row>
    <row r="733" spans="1:4">
      <c r="A733" s="94"/>
      <c r="B733" s="94"/>
      <c r="C733" s="145"/>
      <c r="D733" s="145"/>
    </row>
    <row r="734" spans="1:4">
      <c r="A734" s="94"/>
      <c r="B734" s="94"/>
      <c r="C734" s="145"/>
      <c r="D734" s="145"/>
    </row>
    <row r="735" spans="1:4">
      <c r="A735" s="94"/>
      <c r="B735" s="94"/>
      <c r="C735" s="145"/>
      <c r="D735" s="145"/>
    </row>
    <row r="736" spans="1:4">
      <c r="A736" s="94"/>
      <c r="B736" s="94"/>
      <c r="C736" s="145"/>
      <c r="D736" s="145"/>
    </row>
    <row r="737" spans="1:4">
      <c r="A737" s="94"/>
      <c r="B737" s="94"/>
      <c r="C737" s="145"/>
      <c r="D737" s="145"/>
    </row>
    <row r="738" spans="1:4">
      <c r="A738" s="94"/>
      <c r="B738" s="94"/>
      <c r="C738" s="145"/>
      <c r="D738" s="145"/>
    </row>
    <row r="739" spans="1:4">
      <c r="A739" s="94"/>
      <c r="B739" s="94"/>
      <c r="C739" s="145"/>
      <c r="D739" s="145"/>
    </row>
    <row r="740" spans="1:4">
      <c r="A740" s="94"/>
      <c r="B740" s="94"/>
      <c r="C740" s="145"/>
      <c r="D740" s="145"/>
    </row>
    <row r="741" spans="1:4">
      <c r="A741" s="94"/>
      <c r="B741" s="94"/>
      <c r="C741" s="145"/>
      <c r="D741" s="145"/>
    </row>
    <row r="742" spans="1:4">
      <c r="A742" s="94"/>
      <c r="B742" s="94"/>
      <c r="C742" s="145"/>
      <c r="D742" s="145"/>
    </row>
    <row r="743" spans="1:4">
      <c r="A743" s="94"/>
      <c r="B743" s="94"/>
      <c r="C743" s="145"/>
      <c r="D743" s="145"/>
    </row>
    <row r="744" spans="1:4">
      <c r="A744" s="94"/>
      <c r="B744" s="94"/>
      <c r="C744" s="145"/>
      <c r="D744" s="145"/>
    </row>
    <row r="745" spans="1:4">
      <c r="A745" s="94"/>
      <c r="B745" s="94"/>
      <c r="C745" s="145"/>
      <c r="D745" s="145"/>
    </row>
    <row r="746" spans="1:4">
      <c r="A746" s="94"/>
      <c r="B746" s="94"/>
      <c r="C746" s="145"/>
      <c r="D746" s="145"/>
    </row>
    <row r="747" spans="1:4">
      <c r="A747" s="94"/>
      <c r="B747" s="94"/>
      <c r="C747" s="145"/>
      <c r="D747" s="145"/>
    </row>
    <row r="748" spans="1:4">
      <c r="A748" s="94"/>
      <c r="B748" s="94"/>
      <c r="C748" s="145"/>
      <c r="D748" s="145"/>
    </row>
    <row r="749" spans="1:4">
      <c r="A749" s="94"/>
      <c r="B749" s="94"/>
      <c r="C749" s="145"/>
      <c r="D749" s="145"/>
    </row>
    <row r="750" spans="1:4">
      <c r="A750" s="94"/>
      <c r="B750" s="94"/>
      <c r="C750" s="145"/>
      <c r="D750" s="145"/>
    </row>
    <row r="751" spans="1:4">
      <c r="A751" s="94"/>
      <c r="B751" s="94"/>
      <c r="C751" s="145"/>
      <c r="D751" s="145"/>
    </row>
    <row r="752" spans="1:4">
      <c r="A752" s="94"/>
      <c r="B752" s="94"/>
      <c r="C752" s="145"/>
      <c r="D752" s="145"/>
    </row>
    <row r="753" spans="1:4">
      <c r="A753" s="94"/>
      <c r="B753" s="94"/>
      <c r="C753" s="145"/>
      <c r="D753" s="145"/>
    </row>
    <row r="754" spans="1:4">
      <c r="A754" s="94"/>
      <c r="B754" s="94"/>
      <c r="C754" s="145"/>
      <c r="D754" s="145"/>
    </row>
    <row r="755" spans="1:4">
      <c r="A755" s="94"/>
      <c r="B755" s="94"/>
      <c r="C755" s="145"/>
      <c r="D755" s="145"/>
    </row>
    <row r="756" spans="1:4">
      <c r="A756" s="94"/>
      <c r="B756" s="94"/>
      <c r="C756" s="145"/>
      <c r="D756" s="145"/>
    </row>
    <row r="757" spans="1:4">
      <c r="A757" s="94"/>
      <c r="B757" s="94"/>
      <c r="C757" s="145"/>
      <c r="D757" s="145"/>
    </row>
    <row r="758" spans="1:4">
      <c r="A758" s="94"/>
      <c r="B758" s="94"/>
      <c r="C758" s="145"/>
      <c r="D758" s="145"/>
    </row>
    <row r="759" spans="1:4">
      <c r="A759" s="94"/>
      <c r="B759" s="94"/>
      <c r="C759" s="145"/>
      <c r="D759" s="145"/>
    </row>
    <row r="760" spans="1:4">
      <c r="A760" s="94"/>
      <c r="B760" s="94"/>
      <c r="C760" s="145"/>
      <c r="D760" s="145"/>
    </row>
    <row r="761" spans="1:4">
      <c r="A761" s="94"/>
      <c r="B761" s="94"/>
      <c r="C761" s="145"/>
      <c r="D761" s="145"/>
    </row>
    <row r="762" spans="1:4">
      <c r="A762" s="94"/>
      <c r="B762" s="94"/>
      <c r="C762" s="145"/>
      <c r="D762" s="145"/>
    </row>
    <row r="763" spans="1:4">
      <c r="A763" s="94"/>
      <c r="B763" s="94"/>
      <c r="C763" s="145"/>
      <c r="D763" s="145"/>
    </row>
    <row r="764" spans="1:4">
      <c r="A764" s="94"/>
      <c r="B764" s="94"/>
      <c r="C764" s="145"/>
      <c r="D764" s="145"/>
    </row>
    <row r="765" spans="1:4">
      <c r="A765" s="94"/>
      <c r="B765" s="94"/>
      <c r="C765" s="145"/>
      <c r="D765" s="145"/>
    </row>
    <row r="766" spans="1:4">
      <c r="A766" s="94"/>
      <c r="B766" s="94"/>
      <c r="C766" s="145"/>
      <c r="D766" s="145"/>
    </row>
    <row r="767" spans="1:4">
      <c r="A767" s="94"/>
      <c r="B767" s="94"/>
      <c r="C767" s="145"/>
      <c r="D767" s="145"/>
    </row>
    <row r="768" spans="1:4">
      <c r="A768" s="94"/>
      <c r="B768" s="94"/>
      <c r="C768" s="145"/>
      <c r="D768" s="145"/>
    </row>
    <row r="769" spans="1:4">
      <c r="A769" s="94"/>
      <c r="B769" s="94"/>
      <c r="C769" s="145"/>
      <c r="D769" s="145"/>
    </row>
    <row r="770" spans="1:4">
      <c r="A770" s="94"/>
      <c r="B770" s="94"/>
      <c r="C770" s="145"/>
      <c r="D770" s="145"/>
    </row>
    <row r="771" spans="1:4">
      <c r="A771" s="94"/>
      <c r="B771" s="94"/>
      <c r="C771" s="145"/>
      <c r="D771" s="145"/>
    </row>
    <row r="772" spans="1:4">
      <c r="A772" s="94"/>
      <c r="B772" s="94"/>
      <c r="C772" s="145"/>
      <c r="D772" s="145"/>
    </row>
    <row r="773" spans="1:4">
      <c r="A773" s="94"/>
      <c r="B773" s="94"/>
      <c r="C773" s="145"/>
      <c r="D773" s="145"/>
    </row>
    <row r="774" spans="1:4">
      <c r="A774" s="94"/>
      <c r="B774" s="94"/>
      <c r="C774" s="145"/>
      <c r="D774" s="145"/>
    </row>
    <row r="775" spans="1:4">
      <c r="A775" s="94"/>
      <c r="B775" s="94"/>
      <c r="C775" s="145"/>
      <c r="D775" s="145"/>
    </row>
    <row r="776" spans="1:4">
      <c r="A776" s="94"/>
      <c r="B776" s="94"/>
      <c r="C776" s="145"/>
      <c r="D776" s="145"/>
    </row>
    <row r="777" spans="1:4">
      <c r="A777" s="94"/>
      <c r="B777" s="94"/>
      <c r="C777" s="145"/>
      <c r="D777" s="145"/>
    </row>
    <row r="778" spans="1:4">
      <c r="A778" s="94"/>
      <c r="B778" s="94"/>
      <c r="C778" s="145"/>
      <c r="D778" s="145"/>
    </row>
    <row r="779" spans="1:4">
      <c r="A779" s="94"/>
      <c r="B779" s="94"/>
      <c r="C779" s="145"/>
      <c r="D779" s="145"/>
    </row>
    <row r="780" spans="1:4">
      <c r="A780" s="94"/>
      <c r="B780" s="94"/>
      <c r="C780" s="145"/>
      <c r="D780" s="145"/>
    </row>
    <row r="781" spans="1:4">
      <c r="A781" s="94"/>
      <c r="B781" s="94"/>
      <c r="C781" s="145"/>
      <c r="D781" s="145"/>
    </row>
    <row r="782" spans="1:4">
      <c r="A782" s="94"/>
      <c r="B782" s="94"/>
      <c r="C782" s="145"/>
      <c r="D782" s="145"/>
    </row>
    <row r="783" spans="1:4">
      <c r="A783" s="94"/>
      <c r="B783" s="94"/>
      <c r="C783" s="145"/>
      <c r="D783" s="145"/>
    </row>
    <row r="784" spans="1:4">
      <c r="A784" s="94"/>
      <c r="B784" s="94"/>
      <c r="C784" s="145"/>
      <c r="D784" s="145"/>
    </row>
    <row r="785" spans="1:4">
      <c r="A785" s="94"/>
      <c r="B785" s="94"/>
      <c r="C785" s="145"/>
      <c r="D785" s="145"/>
    </row>
    <row r="786" spans="1:4">
      <c r="A786" s="94"/>
      <c r="B786" s="94"/>
      <c r="C786" s="145"/>
      <c r="D786" s="145"/>
    </row>
    <row r="787" spans="1:4">
      <c r="A787" s="94"/>
      <c r="B787" s="94"/>
      <c r="C787" s="145"/>
      <c r="D787" s="145"/>
    </row>
    <row r="788" spans="1:4">
      <c r="A788" s="94"/>
      <c r="B788" s="94"/>
      <c r="C788" s="145"/>
      <c r="D788" s="145"/>
    </row>
    <row r="789" spans="1:4">
      <c r="A789" s="94"/>
      <c r="B789" s="94"/>
      <c r="C789" s="145"/>
      <c r="D789" s="145"/>
    </row>
    <row r="790" spans="1:4">
      <c r="A790" s="94"/>
      <c r="B790" s="94"/>
      <c r="C790" s="145"/>
      <c r="D790" s="145"/>
    </row>
    <row r="791" spans="1:4">
      <c r="A791" s="94"/>
      <c r="B791" s="94"/>
      <c r="C791" s="145"/>
      <c r="D791" s="145"/>
    </row>
    <row r="792" spans="1:4">
      <c r="A792" s="94"/>
      <c r="B792" s="94"/>
      <c r="C792" s="145"/>
      <c r="D792" s="145"/>
    </row>
    <row r="793" spans="1:4">
      <c r="A793" s="94"/>
      <c r="B793" s="94"/>
      <c r="C793" s="145"/>
      <c r="D793" s="145"/>
    </row>
    <row r="794" spans="1:4">
      <c r="A794" s="94"/>
      <c r="B794" s="94"/>
      <c r="C794" s="145"/>
      <c r="D794" s="145"/>
    </row>
    <row r="795" spans="1:4">
      <c r="A795" s="94"/>
      <c r="B795" s="94"/>
      <c r="C795" s="145"/>
      <c r="D795" s="145"/>
    </row>
    <row r="796" spans="1:4">
      <c r="A796" s="94"/>
      <c r="B796" s="94"/>
      <c r="C796" s="145"/>
      <c r="D796" s="145"/>
    </row>
    <row r="797" spans="1:4">
      <c r="A797" s="94"/>
      <c r="B797" s="94"/>
      <c r="C797" s="145"/>
      <c r="D797" s="145"/>
    </row>
    <row r="798" spans="1:4">
      <c r="A798" s="94"/>
      <c r="B798" s="94"/>
      <c r="C798" s="145"/>
      <c r="D798" s="145"/>
    </row>
    <row r="799" spans="1:4">
      <c r="A799" s="94"/>
      <c r="B799" s="94"/>
      <c r="C799" s="145"/>
      <c r="D799" s="145"/>
    </row>
    <row r="800" spans="1:4">
      <c r="A800" s="94"/>
      <c r="B800" s="94"/>
      <c r="C800" s="145"/>
      <c r="D800" s="145"/>
    </row>
    <row r="801" spans="1:4">
      <c r="A801" s="94"/>
      <c r="B801" s="94"/>
      <c r="C801" s="145"/>
      <c r="D801" s="145"/>
    </row>
    <row r="802" spans="1:4">
      <c r="A802" s="94"/>
      <c r="B802" s="94"/>
      <c r="C802" s="145"/>
      <c r="D802" s="145"/>
    </row>
    <row r="803" spans="1:4">
      <c r="A803" s="94"/>
      <c r="B803" s="94"/>
      <c r="C803" s="145"/>
      <c r="D803" s="145"/>
    </row>
    <row r="804" spans="1:4">
      <c r="A804" s="94"/>
      <c r="B804" s="94"/>
      <c r="C804" s="145"/>
      <c r="D804" s="145"/>
    </row>
    <row r="805" spans="1:4">
      <c r="A805" s="94"/>
      <c r="B805" s="94"/>
      <c r="C805" s="145"/>
      <c r="D805" s="145"/>
    </row>
    <row r="806" spans="1:4">
      <c r="A806" s="94"/>
      <c r="B806" s="94"/>
      <c r="C806" s="145"/>
      <c r="D806" s="145"/>
    </row>
    <row r="807" spans="1:4">
      <c r="A807" s="94"/>
      <c r="B807" s="94"/>
      <c r="C807" s="145"/>
      <c r="D807" s="145"/>
    </row>
    <row r="808" spans="1:4">
      <c r="A808" s="94"/>
      <c r="B808" s="94"/>
      <c r="C808" s="145"/>
      <c r="D808" s="145"/>
    </row>
    <row r="809" spans="1:4">
      <c r="A809" s="94"/>
      <c r="B809" s="94"/>
      <c r="C809" s="145"/>
      <c r="D809" s="145"/>
    </row>
    <row r="810" spans="1:4">
      <c r="A810" s="94"/>
      <c r="B810" s="94"/>
      <c r="C810" s="145"/>
      <c r="D810" s="145"/>
    </row>
    <row r="811" spans="1:4">
      <c r="A811" s="94"/>
      <c r="B811" s="94"/>
      <c r="C811" s="145"/>
      <c r="D811" s="145"/>
    </row>
    <row r="812" spans="1:4">
      <c r="A812" s="94"/>
      <c r="B812" s="94"/>
      <c r="C812" s="145"/>
      <c r="D812" s="145"/>
    </row>
    <row r="813" spans="1:4">
      <c r="A813" s="94"/>
      <c r="B813" s="94"/>
      <c r="C813" s="145"/>
      <c r="D813" s="145"/>
    </row>
    <row r="814" spans="1:4">
      <c r="A814" s="94"/>
      <c r="B814" s="94"/>
      <c r="C814" s="145"/>
      <c r="D814" s="145"/>
    </row>
    <row r="815" spans="1:4">
      <c r="A815" s="94"/>
      <c r="B815" s="94"/>
      <c r="C815" s="145"/>
      <c r="D815" s="145"/>
    </row>
    <row r="816" spans="1:4">
      <c r="A816" s="94"/>
      <c r="B816" s="94"/>
      <c r="C816" s="145"/>
      <c r="D816" s="145"/>
    </row>
    <row r="817" spans="1:4">
      <c r="A817" s="94"/>
      <c r="B817" s="94"/>
      <c r="C817" s="145"/>
      <c r="D817" s="145"/>
    </row>
    <row r="818" spans="1:4">
      <c r="A818" s="94"/>
      <c r="B818" s="94"/>
      <c r="C818" s="145"/>
      <c r="D818" s="145"/>
    </row>
    <row r="819" spans="1:4">
      <c r="A819" s="94"/>
      <c r="B819" s="94"/>
      <c r="C819" s="145"/>
      <c r="D819" s="145"/>
    </row>
    <row r="820" spans="1:4">
      <c r="A820" s="94"/>
      <c r="B820" s="94"/>
      <c r="C820" s="145"/>
      <c r="D820" s="145"/>
    </row>
    <row r="821" spans="1:4">
      <c r="A821" s="94"/>
      <c r="B821" s="94"/>
      <c r="C821" s="145"/>
      <c r="D821" s="145"/>
    </row>
    <row r="822" spans="1:4">
      <c r="A822" s="94"/>
      <c r="B822" s="94"/>
      <c r="C822" s="145"/>
      <c r="D822" s="145"/>
    </row>
    <row r="823" spans="1:4">
      <c r="A823" s="94"/>
      <c r="B823" s="94"/>
      <c r="C823" s="145"/>
      <c r="D823" s="145"/>
    </row>
    <row r="824" spans="1:4">
      <c r="A824" s="94"/>
      <c r="B824" s="94"/>
      <c r="C824" s="145"/>
      <c r="D824" s="145"/>
    </row>
    <row r="825" spans="1:4">
      <c r="A825" s="94"/>
      <c r="B825" s="94"/>
      <c r="C825" s="145"/>
      <c r="D825" s="145"/>
    </row>
    <row r="826" spans="1:4">
      <c r="A826" s="94"/>
      <c r="B826" s="94"/>
      <c r="C826" s="145"/>
      <c r="D826" s="145"/>
    </row>
    <row r="827" spans="1:4">
      <c r="A827" s="94"/>
      <c r="B827" s="94"/>
      <c r="C827" s="145"/>
      <c r="D827" s="145"/>
    </row>
    <row r="828" spans="1:4">
      <c r="A828" s="94"/>
      <c r="B828" s="94"/>
      <c r="C828" s="145"/>
      <c r="D828" s="145"/>
    </row>
    <row r="829" spans="1:4">
      <c r="A829" s="94"/>
      <c r="B829" s="94"/>
      <c r="C829" s="145"/>
      <c r="D829" s="145"/>
    </row>
    <row r="830" spans="1:4">
      <c r="A830" s="94"/>
      <c r="B830" s="94"/>
      <c r="C830" s="145"/>
      <c r="D830" s="145"/>
    </row>
    <row r="831" spans="1:4">
      <c r="A831" s="94"/>
      <c r="B831" s="94"/>
      <c r="C831" s="145"/>
      <c r="D831" s="145"/>
    </row>
    <row r="832" spans="1:4">
      <c r="A832" s="94"/>
      <c r="B832" s="94"/>
      <c r="C832" s="145"/>
      <c r="D832" s="145"/>
    </row>
    <row r="833" spans="1:4">
      <c r="A833" s="94"/>
      <c r="B833" s="94"/>
      <c r="C833" s="145"/>
      <c r="D833" s="145"/>
    </row>
    <row r="834" spans="1:4">
      <c r="A834" s="94"/>
      <c r="B834" s="94"/>
      <c r="C834" s="145"/>
      <c r="D834" s="145"/>
    </row>
    <row r="835" spans="1:4">
      <c r="A835" s="94"/>
      <c r="B835" s="94"/>
      <c r="C835" s="145"/>
      <c r="D835" s="145"/>
    </row>
    <row r="836" spans="1:4">
      <c r="A836" s="94"/>
      <c r="B836" s="94"/>
      <c r="C836" s="145"/>
      <c r="D836" s="145"/>
    </row>
    <row r="837" spans="1:4">
      <c r="A837" s="94"/>
      <c r="B837" s="94"/>
      <c r="C837" s="145"/>
      <c r="D837" s="145"/>
    </row>
    <row r="838" spans="1:4">
      <c r="A838" s="94"/>
      <c r="B838" s="94"/>
      <c r="C838" s="145"/>
      <c r="D838" s="145"/>
    </row>
    <row r="839" spans="1:4">
      <c r="A839" s="94"/>
      <c r="B839" s="94"/>
      <c r="C839" s="145"/>
      <c r="D839" s="145"/>
    </row>
    <row r="840" spans="1:4">
      <c r="A840" s="94"/>
      <c r="B840" s="94"/>
      <c r="C840" s="145"/>
      <c r="D840" s="145"/>
    </row>
    <row r="841" spans="1:4">
      <c r="A841" s="94"/>
      <c r="B841" s="94"/>
      <c r="C841" s="145"/>
      <c r="D841" s="145"/>
    </row>
    <row r="842" spans="1:4">
      <c r="A842" s="94"/>
      <c r="B842" s="94"/>
      <c r="C842" s="145"/>
      <c r="D842" s="145"/>
    </row>
    <row r="843" spans="1:4">
      <c r="A843" s="94"/>
      <c r="B843" s="94"/>
      <c r="C843" s="145"/>
      <c r="D843" s="145"/>
    </row>
    <row r="844" spans="1:4">
      <c r="A844" s="94"/>
      <c r="B844" s="94"/>
      <c r="C844" s="145"/>
      <c r="D844" s="145"/>
    </row>
    <row r="845" spans="1:4">
      <c r="A845" s="94"/>
      <c r="B845" s="94"/>
      <c r="C845" s="145"/>
      <c r="D845" s="145"/>
    </row>
    <row r="846" spans="1:4">
      <c r="A846" s="94"/>
      <c r="B846" s="94"/>
      <c r="C846" s="145"/>
      <c r="D846" s="145"/>
    </row>
    <row r="847" spans="1:4">
      <c r="A847" s="94"/>
      <c r="B847" s="94"/>
      <c r="C847" s="145"/>
      <c r="D847" s="145"/>
    </row>
    <row r="848" spans="1:4">
      <c r="A848" s="94"/>
      <c r="B848" s="94"/>
      <c r="C848" s="145"/>
      <c r="D848" s="145"/>
    </row>
    <row r="849" spans="1:4">
      <c r="A849" s="94"/>
      <c r="B849" s="94"/>
      <c r="C849" s="145"/>
      <c r="D849" s="145"/>
    </row>
    <row r="850" spans="1:4">
      <c r="A850" s="94"/>
      <c r="B850" s="94"/>
      <c r="C850" s="145"/>
      <c r="D850" s="145"/>
    </row>
    <row r="851" spans="1:4">
      <c r="A851" s="94"/>
      <c r="B851" s="94"/>
      <c r="C851" s="145"/>
      <c r="D851" s="145"/>
    </row>
    <row r="852" spans="1:4">
      <c r="A852" s="94"/>
      <c r="B852" s="94"/>
      <c r="C852" s="145"/>
      <c r="D852" s="145"/>
    </row>
    <row r="853" spans="1:4">
      <c r="A853" s="94"/>
      <c r="B853" s="94"/>
      <c r="C853" s="145"/>
      <c r="D853" s="145"/>
    </row>
    <row r="854" spans="1:4">
      <c r="A854" s="94"/>
      <c r="B854" s="94"/>
      <c r="C854" s="145"/>
      <c r="D854" s="145"/>
    </row>
    <row r="855" spans="1:4">
      <c r="A855" s="94"/>
      <c r="B855" s="94"/>
      <c r="C855" s="145"/>
      <c r="D855" s="145"/>
    </row>
    <row r="856" spans="1:4">
      <c r="A856" s="94"/>
      <c r="B856" s="94"/>
      <c r="C856" s="145"/>
      <c r="D856" s="145"/>
    </row>
    <row r="857" spans="1:4">
      <c r="A857" s="94"/>
      <c r="B857" s="94"/>
      <c r="C857" s="145"/>
      <c r="D857" s="145"/>
    </row>
    <row r="858" spans="1:4">
      <c r="A858" s="94"/>
      <c r="B858" s="94"/>
      <c r="C858" s="145"/>
      <c r="D858" s="145"/>
    </row>
    <row r="859" spans="1:4">
      <c r="A859" s="94"/>
      <c r="B859" s="94"/>
      <c r="C859" s="145"/>
      <c r="D859" s="145"/>
    </row>
    <row r="860" spans="1:4">
      <c r="A860" s="94"/>
      <c r="B860" s="94"/>
      <c r="C860" s="145"/>
      <c r="D860" s="145"/>
    </row>
    <row r="861" spans="1:4">
      <c r="A861" s="94"/>
      <c r="B861" s="94"/>
      <c r="C861" s="145"/>
      <c r="D861" s="145"/>
    </row>
    <row r="862" spans="1:4">
      <c r="A862" s="94"/>
      <c r="B862" s="94"/>
      <c r="C862" s="145"/>
      <c r="D862" s="145"/>
    </row>
    <row r="863" spans="1:4">
      <c r="A863" s="94"/>
      <c r="B863" s="94"/>
      <c r="C863" s="145"/>
      <c r="D863" s="145"/>
    </row>
    <row r="864" spans="1:4">
      <c r="A864" s="94"/>
      <c r="B864" s="94"/>
      <c r="C864" s="145"/>
      <c r="D864" s="145"/>
    </row>
    <row r="865" spans="1:4">
      <c r="A865" s="94"/>
      <c r="B865" s="94"/>
      <c r="C865" s="145"/>
      <c r="D865" s="145"/>
    </row>
    <row r="866" spans="1:4">
      <c r="A866" s="94"/>
      <c r="B866" s="94"/>
      <c r="C866" s="145"/>
      <c r="D866" s="145"/>
    </row>
    <row r="867" spans="1:4">
      <c r="A867" s="94"/>
      <c r="B867" s="94"/>
      <c r="C867" s="145"/>
      <c r="D867" s="145"/>
    </row>
    <row r="868" spans="1:4">
      <c r="A868" s="94"/>
      <c r="B868" s="94"/>
      <c r="C868" s="145"/>
      <c r="D868" s="145"/>
    </row>
    <row r="869" spans="1:4">
      <c r="A869" s="94"/>
      <c r="B869" s="94"/>
      <c r="C869" s="145"/>
      <c r="D869" s="145"/>
    </row>
    <row r="870" spans="1:4">
      <c r="A870" s="94"/>
      <c r="B870" s="94"/>
      <c r="C870" s="145"/>
      <c r="D870" s="145"/>
    </row>
    <row r="871" spans="1:4">
      <c r="A871" s="94"/>
      <c r="B871" s="94"/>
      <c r="C871" s="145"/>
      <c r="D871" s="145"/>
    </row>
    <row r="872" spans="1:4">
      <c r="A872" s="94"/>
      <c r="B872" s="94"/>
      <c r="C872" s="145"/>
      <c r="D872" s="145"/>
    </row>
    <row r="873" spans="1:4">
      <c r="A873" s="94"/>
      <c r="B873" s="94"/>
      <c r="C873" s="145"/>
      <c r="D873" s="145"/>
    </row>
    <row r="874" spans="1:4">
      <c r="A874" s="94"/>
      <c r="B874" s="94"/>
      <c r="C874" s="145"/>
      <c r="D874" s="145"/>
    </row>
    <row r="875" spans="1:4">
      <c r="A875" s="94"/>
      <c r="B875" s="94"/>
      <c r="C875" s="145"/>
      <c r="D875" s="145"/>
    </row>
    <row r="876" spans="1:4">
      <c r="A876" s="94"/>
      <c r="B876" s="94"/>
      <c r="C876" s="145"/>
      <c r="D876" s="145"/>
    </row>
    <row r="877" spans="1:4">
      <c r="A877" s="94"/>
      <c r="B877" s="94"/>
      <c r="C877" s="145"/>
      <c r="D877" s="145"/>
    </row>
    <row r="878" spans="1:4">
      <c r="A878" s="94"/>
      <c r="B878" s="94"/>
      <c r="C878" s="145"/>
      <c r="D878" s="145"/>
    </row>
    <row r="879" spans="1:4">
      <c r="A879" s="94"/>
      <c r="B879" s="94"/>
      <c r="C879" s="145"/>
      <c r="D879" s="145"/>
    </row>
    <row r="880" spans="1:4">
      <c r="A880" s="94"/>
      <c r="B880" s="94"/>
      <c r="C880" s="145"/>
      <c r="D880" s="145"/>
    </row>
    <row r="881" spans="1:4">
      <c r="A881" s="94"/>
      <c r="B881" s="94"/>
      <c r="C881" s="145"/>
      <c r="D881" s="145"/>
    </row>
    <row r="882" spans="1:4">
      <c r="A882" s="94"/>
      <c r="B882" s="94"/>
      <c r="C882" s="145"/>
      <c r="D882" s="145"/>
    </row>
    <row r="883" spans="1:4">
      <c r="A883" s="94"/>
      <c r="B883" s="94"/>
      <c r="C883" s="145"/>
      <c r="D883" s="145"/>
    </row>
    <row r="884" spans="1:4">
      <c r="A884" s="94"/>
      <c r="B884" s="94"/>
      <c r="C884" s="145"/>
      <c r="D884" s="145"/>
    </row>
    <row r="885" spans="1:4">
      <c r="A885" s="94"/>
      <c r="B885" s="94"/>
      <c r="C885" s="145"/>
      <c r="D885" s="145"/>
    </row>
    <row r="886" spans="1:4">
      <c r="A886" s="94"/>
      <c r="B886" s="94"/>
      <c r="C886" s="145"/>
      <c r="D886" s="145"/>
    </row>
    <row r="887" spans="1:4">
      <c r="A887" s="94"/>
      <c r="B887" s="94"/>
      <c r="C887" s="145"/>
      <c r="D887" s="145"/>
    </row>
    <row r="888" spans="1:4">
      <c r="A888" s="94"/>
      <c r="B888" s="94"/>
      <c r="C888" s="145"/>
      <c r="D888" s="145"/>
    </row>
    <row r="889" spans="1:4">
      <c r="A889" s="94"/>
      <c r="B889" s="94"/>
      <c r="C889" s="145"/>
      <c r="D889" s="145"/>
    </row>
    <row r="890" spans="1:4">
      <c r="A890" s="94"/>
      <c r="B890" s="94"/>
      <c r="C890" s="145"/>
      <c r="D890" s="145"/>
    </row>
    <row r="891" spans="1:4">
      <c r="A891" s="94"/>
      <c r="B891" s="94"/>
      <c r="C891" s="145"/>
      <c r="D891" s="145"/>
    </row>
    <row r="892" spans="1:4">
      <c r="A892" s="94"/>
      <c r="B892" s="94"/>
      <c r="C892" s="145"/>
      <c r="D892" s="145"/>
    </row>
    <row r="893" spans="1:4">
      <c r="A893" s="94"/>
      <c r="B893" s="94"/>
      <c r="C893" s="145"/>
      <c r="D893" s="145"/>
    </row>
    <row r="894" spans="1:4">
      <c r="A894" s="94"/>
      <c r="B894" s="94"/>
      <c r="C894" s="145"/>
      <c r="D894" s="145"/>
    </row>
    <row r="895" spans="1:4">
      <c r="A895" s="94"/>
      <c r="B895" s="94"/>
      <c r="C895" s="145"/>
      <c r="D895" s="145"/>
    </row>
    <row r="896" spans="1:4">
      <c r="A896" s="94"/>
      <c r="B896" s="94"/>
      <c r="C896" s="145"/>
      <c r="D896" s="145"/>
    </row>
    <row r="897" spans="1:4">
      <c r="A897" s="94"/>
      <c r="B897" s="94"/>
      <c r="C897" s="145"/>
      <c r="D897" s="145"/>
    </row>
    <row r="898" spans="1:4">
      <c r="A898" s="94"/>
      <c r="B898" s="94"/>
      <c r="C898" s="145"/>
      <c r="D898" s="145"/>
    </row>
    <row r="899" spans="1:4">
      <c r="A899" s="94"/>
      <c r="B899" s="94"/>
      <c r="C899" s="145"/>
      <c r="D899" s="145"/>
    </row>
    <row r="900" spans="1:4">
      <c r="A900" s="94"/>
      <c r="B900" s="94"/>
      <c r="C900" s="145"/>
      <c r="D900" s="145"/>
    </row>
    <row r="901" spans="1:4">
      <c r="A901" s="94"/>
      <c r="B901" s="94"/>
      <c r="C901" s="145"/>
      <c r="D901" s="145"/>
    </row>
    <row r="902" spans="1:4">
      <c r="A902" s="94"/>
      <c r="B902" s="94"/>
      <c r="C902" s="145"/>
      <c r="D902" s="145"/>
    </row>
    <row r="903" spans="1:4">
      <c r="A903" s="94"/>
      <c r="B903" s="94"/>
      <c r="C903" s="145"/>
      <c r="D903" s="145"/>
    </row>
    <row r="904" spans="1:4">
      <c r="A904" s="94"/>
      <c r="B904" s="94"/>
      <c r="C904" s="145"/>
      <c r="D904" s="145"/>
    </row>
    <row r="905" spans="1:4">
      <c r="A905" s="94"/>
      <c r="B905" s="94"/>
      <c r="C905" s="145"/>
      <c r="D905" s="145"/>
    </row>
    <row r="906" spans="1:4">
      <c r="A906" s="94"/>
      <c r="B906" s="94"/>
      <c r="C906" s="145"/>
      <c r="D906" s="145"/>
    </row>
    <row r="907" spans="1:4">
      <c r="A907" s="94"/>
      <c r="B907" s="94"/>
      <c r="C907" s="145"/>
      <c r="D907" s="145"/>
    </row>
    <row r="908" spans="1:4">
      <c r="A908" s="94"/>
      <c r="B908" s="94"/>
      <c r="C908" s="145"/>
      <c r="D908" s="145"/>
    </row>
    <row r="909" spans="1:4">
      <c r="A909" s="94"/>
      <c r="B909" s="94"/>
      <c r="C909" s="145"/>
      <c r="D909" s="145"/>
    </row>
    <row r="910" spans="1:4">
      <c r="A910" s="94"/>
      <c r="B910" s="94"/>
      <c r="C910" s="145"/>
      <c r="D910" s="145"/>
    </row>
    <row r="911" spans="1:4">
      <c r="A911" s="94"/>
      <c r="B911" s="94"/>
      <c r="C911" s="145"/>
      <c r="D911" s="145"/>
    </row>
    <row r="912" spans="1:4">
      <c r="A912" s="94"/>
      <c r="B912" s="94"/>
      <c r="C912" s="145"/>
      <c r="D912" s="145"/>
    </row>
    <row r="913" spans="1:4">
      <c r="A913" s="94"/>
      <c r="B913" s="94"/>
      <c r="C913" s="145"/>
      <c r="D913" s="145"/>
    </row>
    <row r="914" spans="1:4">
      <c r="A914" s="94"/>
      <c r="B914" s="94"/>
      <c r="C914" s="145"/>
      <c r="D914" s="145"/>
    </row>
    <row r="915" spans="1:4">
      <c r="A915" s="94"/>
      <c r="B915" s="94"/>
      <c r="C915" s="145"/>
      <c r="D915" s="145"/>
    </row>
    <row r="916" spans="1:4">
      <c r="A916" s="94"/>
      <c r="B916" s="94"/>
      <c r="C916" s="145"/>
      <c r="D916" s="145"/>
    </row>
    <row r="917" spans="1:4">
      <c r="A917" s="94"/>
      <c r="B917" s="94"/>
      <c r="C917" s="145"/>
      <c r="D917" s="145"/>
    </row>
    <row r="918" spans="1:4">
      <c r="A918" s="94"/>
      <c r="B918" s="94"/>
      <c r="C918" s="145"/>
      <c r="D918" s="145"/>
    </row>
    <row r="919" spans="1:4">
      <c r="A919" s="94"/>
      <c r="B919" s="94"/>
      <c r="C919" s="145"/>
      <c r="D919" s="145"/>
    </row>
    <row r="920" spans="1:4">
      <c r="A920" s="94"/>
      <c r="B920" s="94"/>
      <c r="C920" s="145"/>
      <c r="D920" s="145"/>
    </row>
    <row r="921" spans="1:4">
      <c r="A921" s="94"/>
      <c r="B921" s="94"/>
      <c r="C921" s="145"/>
      <c r="D921" s="145"/>
    </row>
    <row r="922" spans="1:4">
      <c r="A922" s="94"/>
      <c r="B922" s="94"/>
      <c r="C922" s="145"/>
      <c r="D922" s="145"/>
    </row>
    <row r="923" spans="1:4">
      <c r="A923" s="94"/>
      <c r="B923" s="94"/>
      <c r="C923" s="145"/>
      <c r="D923" s="145"/>
    </row>
    <row r="924" spans="1:4">
      <c r="A924" s="94"/>
      <c r="B924" s="94"/>
      <c r="C924" s="145"/>
      <c r="D924" s="145"/>
    </row>
    <row r="925" spans="1:4">
      <c r="A925" s="94"/>
      <c r="B925" s="94"/>
      <c r="C925" s="145"/>
      <c r="D925" s="145"/>
    </row>
    <row r="926" spans="1:4">
      <c r="A926" s="94"/>
      <c r="B926" s="94"/>
      <c r="C926" s="145"/>
      <c r="D926" s="145"/>
    </row>
    <row r="927" spans="1:4">
      <c r="A927" s="94"/>
      <c r="B927" s="94"/>
      <c r="C927" s="145"/>
      <c r="D927" s="145"/>
    </row>
    <row r="928" spans="1:4">
      <c r="A928" s="94"/>
      <c r="B928" s="94"/>
      <c r="C928" s="145"/>
      <c r="D928" s="145"/>
    </row>
    <row r="929" spans="1:4">
      <c r="A929" s="94"/>
      <c r="B929" s="94"/>
      <c r="C929" s="145"/>
      <c r="D929" s="145"/>
    </row>
    <row r="930" spans="1:4">
      <c r="A930" s="94"/>
      <c r="B930" s="94"/>
      <c r="C930" s="145"/>
      <c r="D930" s="145"/>
    </row>
    <row r="931" spans="1:4">
      <c r="A931" s="94"/>
      <c r="B931" s="94"/>
      <c r="C931" s="145"/>
      <c r="D931" s="145"/>
    </row>
    <row r="932" spans="1:4">
      <c r="A932" s="94"/>
      <c r="B932" s="94"/>
      <c r="C932" s="145"/>
      <c r="D932" s="145"/>
    </row>
    <row r="933" spans="1:4">
      <c r="A933" s="94"/>
      <c r="B933" s="94"/>
      <c r="C933" s="145"/>
      <c r="D933" s="145"/>
    </row>
    <row r="934" spans="1:4">
      <c r="A934" s="94"/>
      <c r="B934" s="94"/>
      <c r="C934" s="145"/>
      <c r="D934" s="145"/>
    </row>
    <row r="935" spans="1:4">
      <c r="A935" s="94"/>
      <c r="B935" s="94"/>
      <c r="C935" s="145"/>
      <c r="D935" s="145"/>
    </row>
    <row r="936" spans="1:4">
      <c r="A936" s="94"/>
      <c r="B936" s="94"/>
      <c r="C936" s="145"/>
      <c r="D936" s="145"/>
    </row>
    <row r="937" spans="1:4">
      <c r="A937" s="94"/>
      <c r="B937" s="94"/>
      <c r="C937" s="145"/>
      <c r="D937" s="145"/>
    </row>
    <row r="938" spans="1:4">
      <c r="A938" s="94"/>
      <c r="B938" s="94"/>
      <c r="C938" s="145"/>
      <c r="D938" s="145"/>
    </row>
    <row r="939" spans="1:4">
      <c r="A939" s="94"/>
      <c r="B939" s="94"/>
      <c r="C939" s="145"/>
      <c r="D939" s="145"/>
    </row>
    <row r="940" spans="1:4">
      <c r="A940" s="94"/>
      <c r="B940" s="94"/>
      <c r="C940" s="145"/>
      <c r="D940" s="145"/>
    </row>
    <row r="941" spans="1:4">
      <c r="A941" s="94"/>
      <c r="B941" s="94"/>
      <c r="C941" s="145"/>
      <c r="D941" s="145"/>
    </row>
    <row r="942" spans="1:4">
      <c r="A942" s="94"/>
      <c r="B942" s="94"/>
      <c r="C942" s="145"/>
      <c r="D942" s="145"/>
    </row>
    <row r="943" spans="1:4">
      <c r="A943" s="94"/>
      <c r="B943" s="94"/>
      <c r="C943" s="145"/>
      <c r="D943" s="145"/>
    </row>
    <row r="944" spans="1:4">
      <c r="A944" s="94"/>
      <c r="B944" s="94"/>
      <c r="C944" s="145"/>
      <c r="D944" s="145"/>
    </row>
    <row r="945" spans="1:4">
      <c r="A945" s="94"/>
      <c r="B945" s="94"/>
      <c r="C945" s="145"/>
      <c r="D945" s="145"/>
    </row>
    <row r="946" spans="1:4">
      <c r="A946" s="94"/>
      <c r="B946" s="94"/>
      <c r="C946" s="145"/>
      <c r="D946" s="145"/>
    </row>
    <row r="947" spans="1:4">
      <c r="A947" s="94"/>
      <c r="B947" s="94"/>
      <c r="C947" s="145"/>
      <c r="D947" s="145"/>
    </row>
    <row r="948" spans="1:4">
      <c r="A948" s="94"/>
      <c r="B948" s="94"/>
      <c r="C948" s="145"/>
      <c r="D948" s="145"/>
    </row>
    <row r="949" spans="1:4">
      <c r="A949" s="94"/>
      <c r="B949" s="94"/>
      <c r="C949" s="145"/>
      <c r="D949" s="145"/>
    </row>
    <row r="950" spans="1:4">
      <c r="A950" s="94"/>
      <c r="B950" s="94"/>
      <c r="C950" s="145"/>
      <c r="D950" s="145"/>
    </row>
    <row r="951" spans="1:4">
      <c r="A951" s="94"/>
      <c r="B951" s="94"/>
      <c r="C951" s="145"/>
      <c r="D951" s="145"/>
    </row>
    <row r="952" spans="1:4">
      <c r="A952" s="94"/>
      <c r="B952" s="94"/>
      <c r="C952" s="145"/>
      <c r="D952" s="145"/>
    </row>
    <row r="953" spans="1:4">
      <c r="A953" s="94"/>
      <c r="B953" s="94"/>
      <c r="C953" s="145"/>
      <c r="D953" s="145"/>
    </row>
    <row r="954" spans="1:4">
      <c r="A954" s="94"/>
      <c r="B954" s="94"/>
      <c r="C954" s="145"/>
      <c r="D954" s="145"/>
    </row>
    <row r="955" spans="1:4">
      <c r="A955" s="94"/>
      <c r="B955" s="94"/>
      <c r="C955" s="145"/>
      <c r="D955" s="145"/>
    </row>
    <row r="956" spans="1:4">
      <c r="A956" s="94"/>
      <c r="B956" s="94"/>
      <c r="C956" s="145"/>
      <c r="D956" s="145"/>
    </row>
    <row r="957" spans="1:4">
      <c r="A957" s="94"/>
      <c r="B957" s="94"/>
      <c r="C957" s="145"/>
      <c r="D957" s="145"/>
    </row>
    <row r="958" spans="1:4">
      <c r="A958" s="94"/>
      <c r="B958" s="94"/>
      <c r="C958" s="145"/>
      <c r="D958" s="145"/>
    </row>
    <row r="959" spans="1:4">
      <c r="A959" s="94"/>
      <c r="B959" s="94"/>
      <c r="C959" s="145"/>
      <c r="D959" s="145"/>
    </row>
    <row r="960" spans="1:4">
      <c r="A960" s="94"/>
      <c r="B960" s="94"/>
      <c r="C960" s="145"/>
      <c r="D960" s="145"/>
    </row>
    <row r="961" spans="1:4">
      <c r="A961" s="94"/>
      <c r="B961" s="94"/>
      <c r="C961" s="145"/>
      <c r="D961" s="145"/>
    </row>
    <row r="962" spans="1:4">
      <c r="A962" s="94"/>
      <c r="B962" s="94"/>
      <c r="C962" s="145"/>
      <c r="D962" s="145"/>
    </row>
    <row r="963" spans="1:4">
      <c r="A963" s="94"/>
      <c r="B963" s="94"/>
      <c r="C963" s="145"/>
      <c r="D963" s="145"/>
    </row>
    <row r="964" spans="1:4">
      <c r="A964" s="94"/>
      <c r="B964" s="94"/>
      <c r="C964" s="145"/>
      <c r="D964" s="145"/>
    </row>
    <row r="965" spans="1:4">
      <c r="A965" s="94"/>
      <c r="B965" s="94"/>
      <c r="C965" s="145"/>
      <c r="D965" s="145"/>
    </row>
    <row r="966" spans="1:4">
      <c r="A966" s="94"/>
      <c r="B966" s="94"/>
      <c r="C966" s="145"/>
      <c r="D966" s="145"/>
    </row>
    <row r="967" spans="1:4">
      <c r="A967" s="94"/>
      <c r="B967" s="94"/>
      <c r="C967" s="145"/>
      <c r="D967" s="145"/>
    </row>
    <row r="968" spans="1:4">
      <c r="A968" s="94"/>
      <c r="B968" s="94"/>
      <c r="C968" s="145"/>
      <c r="D968" s="145"/>
    </row>
    <row r="969" spans="1:4">
      <c r="A969" s="94"/>
      <c r="B969" s="94"/>
      <c r="C969" s="145"/>
      <c r="D969" s="145"/>
    </row>
    <row r="970" spans="1:4">
      <c r="A970" s="94"/>
      <c r="B970" s="94"/>
      <c r="C970" s="145"/>
      <c r="D970" s="145"/>
    </row>
    <row r="971" spans="1:4">
      <c r="A971" s="94"/>
      <c r="B971" s="94"/>
      <c r="C971" s="145"/>
      <c r="D971" s="145"/>
    </row>
    <row r="972" spans="1:4">
      <c r="A972" s="94"/>
      <c r="B972" s="94"/>
      <c r="C972" s="145"/>
      <c r="D972" s="145"/>
    </row>
    <row r="973" spans="1:4">
      <c r="A973" s="94"/>
      <c r="B973" s="94"/>
      <c r="C973" s="145"/>
      <c r="D973" s="145"/>
    </row>
    <row r="974" spans="1:4">
      <c r="A974" s="94"/>
      <c r="B974" s="94"/>
      <c r="C974" s="145"/>
      <c r="D974" s="145"/>
    </row>
    <row r="975" spans="1:4">
      <c r="A975" s="94"/>
      <c r="B975" s="94"/>
      <c r="C975" s="145"/>
      <c r="D975" s="145"/>
    </row>
    <row r="976" spans="1:4">
      <c r="A976" s="94"/>
      <c r="B976" s="94"/>
      <c r="C976" s="145"/>
      <c r="D976" s="145"/>
    </row>
    <row r="977" spans="1:4">
      <c r="A977" s="94"/>
      <c r="B977" s="94"/>
      <c r="C977" s="145"/>
      <c r="D977" s="145"/>
    </row>
    <row r="978" spans="1:4">
      <c r="A978" s="94"/>
      <c r="B978" s="94"/>
      <c r="C978" s="145"/>
      <c r="D978" s="145"/>
    </row>
    <row r="979" spans="1:4">
      <c r="A979" s="94"/>
      <c r="B979" s="94"/>
      <c r="C979" s="145"/>
      <c r="D979" s="145"/>
    </row>
    <row r="980" spans="1:4">
      <c r="A980" s="94"/>
      <c r="B980" s="94"/>
      <c r="C980" s="145"/>
      <c r="D980" s="145"/>
    </row>
    <row r="981" spans="1:4">
      <c r="A981" s="94"/>
      <c r="B981" s="94"/>
      <c r="C981" s="145"/>
      <c r="D981" s="145"/>
    </row>
    <row r="982" spans="1:4">
      <c r="A982" s="94"/>
      <c r="B982" s="94"/>
      <c r="C982" s="145"/>
      <c r="D982" s="145"/>
    </row>
    <row r="983" spans="1:4">
      <c r="A983" s="94"/>
      <c r="B983" s="94"/>
      <c r="C983" s="145"/>
      <c r="D983" s="145"/>
    </row>
    <row r="984" spans="1:4">
      <c r="A984" s="94"/>
      <c r="B984" s="94"/>
      <c r="C984" s="145"/>
      <c r="D984" s="145"/>
    </row>
    <row r="985" spans="1:4">
      <c r="A985" s="94"/>
      <c r="B985" s="94"/>
      <c r="C985" s="145"/>
      <c r="D985" s="145"/>
    </row>
    <row r="986" spans="1:4">
      <c r="A986" s="94"/>
      <c r="B986" s="94"/>
      <c r="C986" s="145"/>
      <c r="D986" s="145"/>
    </row>
    <row r="987" spans="1:4">
      <c r="A987" s="94"/>
      <c r="B987" s="94"/>
      <c r="C987" s="145"/>
      <c r="D987" s="145"/>
    </row>
    <row r="988" spans="1:4">
      <c r="A988" s="94"/>
      <c r="B988" s="94"/>
      <c r="C988" s="145"/>
      <c r="D988" s="145"/>
    </row>
    <row r="989" spans="1:4">
      <c r="A989" s="94"/>
      <c r="B989" s="94"/>
      <c r="C989" s="145"/>
      <c r="D989" s="145"/>
    </row>
    <row r="990" spans="1:4">
      <c r="A990" s="94"/>
      <c r="B990" s="94"/>
      <c r="C990" s="145"/>
      <c r="D990" s="145"/>
    </row>
    <row r="991" spans="1:4">
      <c r="A991" s="94"/>
      <c r="B991" s="94"/>
      <c r="C991" s="145"/>
      <c r="D991" s="145"/>
    </row>
    <row r="992" spans="1:4">
      <c r="A992" s="94"/>
      <c r="B992" s="94"/>
      <c r="C992" s="145"/>
      <c r="D992" s="145"/>
    </row>
    <row r="993" spans="1:4">
      <c r="A993" s="94"/>
      <c r="B993" s="94"/>
      <c r="C993" s="145"/>
      <c r="D993" s="145"/>
    </row>
    <row r="994" spans="1:4">
      <c r="A994" s="94"/>
      <c r="B994" s="94"/>
      <c r="C994" s="145"/>
      <c r="D994" s="145"/>
    </row>
    <row r="995" spans="1:4">
      <c r="A995" s="94"/>
      <c r="B995" s="94"/>
      <c r="C995" s="145"/>
      <c r="D995" s="145"/>
    </row>
    <row r="996" spans="1:4">
      <c r="A996" s="94"/>
      <c r="B996" s="94"/>
      <c r="C996" s="145"/>
      <c r="D996" s="145"/>
    </row>
    <row r="997" spans="1:4">
      <c r="A997" s="94"/>
      <c r="B997" s="94"/>
      <c r="C997" s="145"/>
      <c r="D997" s="145"/>
    </row>
    <row r="998" spans="1:4">
      <c r="A998" s="94"/>
      <c r="B998" s="94"/>
      <c r="C998" s="145"/>
      <c r="D998" s="145"/>
    </row>
    <row r="999" spans="1:4">
      <c r="A999" s="94"/>
      <c r="B999" s="94"/>
      <c r="C999" s="145"/>
      <c r="D999" s="145"/>
    </row>
  </sheetData>
  <mergeCells count="3">
    <mergeCell ref="B1:D3"/>
    <mergeCell ref="B4:D4"/>
    <mergeCell ref="E1:L4"/>
  </mergeCells>
  <dataValidations count="1">
    <dataValidation allowBlank="1" showErrorMessage="1" sqref="C6:D43" xr:uid="{00000000-0002-0000-0500-000000000000}"/>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000"/>
  <sheetViews>
    <sheetView showGridLines="0" workbookViewId="0">
      <selection activeCell="H3" sqref="H3"/>
    </sheetView>
  </sheetViews>
  <sheetFormatPr defaultColWidth="14.44140625" defaultRowHeight="15" customHeight="1"/>
  <cols>
    <col min="1" max="1" width="10.6640625" style="92" customWidth="1"/>
    <col min="2" max="2" width="19.77734375" style="92" bestFit="1" customWidth="1"/>
    <col min="3" max="25" width="10.6640625" style="92" customWidth="1"/>
    <col min="26" max="16384" width="14.44140625" style="92"/>
  </cols>
  <sheetData>
    <row r="1" spans="1:10" ht="14.4">
      <c r="B1" s="95" t="s">
        <v>95</v>
      </c>
      <c r="C1" s="95" t="s">
        <v>52</v>
      </c>
      <c r="D1" s="96" t="s">
        <v>53</v>
      </c>
      <c r="E1" s="97" t="s">
        <v>54</v>
      </c>
      <c r="F1" s="98" t="s">
        <v>55</v>
      </c>
      <c r="G1" s="99" t="s">
        <v>56</v>
      </c>
      <c r="H1" s="100" t="s">
        <v>35</v>
      </c>
    </row>
    <row r="2" spans="1:10" ht="14.4">
      <c r="A2" s="160" t="s">
        <v>35</v>
      </c>
      <c r="B2" s="161">
        <f>(9*(9-1)/2)*2</f>
        <v>72</v>
      </c>
      <c r="C2" s="162">
        <v>3</v>
      </c>
      <c r="D2" s="161">
        <f>(4*(4-1)/2)+(5*(5-1)/2)+1</f>
        <v>17</v>
      </c>
      <c r="E2" s="163">
        <v>4</v>
      </c>
      <c r="F2" s="163">
        <v>2</v>
      </c>
      <c r="G2" s="163">
        <v>2</v>
      </c>
      <c r="H2" s="164">
        <f>SUM(B2:G2)</f>
        <v>100</v>
      </c>
    </row>
    <row r="3" spans="1:10" ht="14.4">
      <c r="A3" s="101" t="s">
        <v>57</v>
      </c>
      <c r="B3" s="91"/>
      <c r="C3" s="102"/>
      <c r="D3" s="91"/>
      <c r="E3" s="103"/>
      <c r="F3" s="103"/>
      <c r="G3" s="91"/>
      <c r="H3" s="100">
        <f>SUM(B3:G3)</f>
        <v>0</v>
      </c>
    </row>
    <row r="4" spans="1:10" ht="14.4">
      <c r="A4" s="101" t="s">
        <v>58</v>
      </c>
      <c r="B4" s="103"/>
      <c r="C4" s="102"/>
      <c r="D4" s="103"/>
      <c r="E4" s="103"/>
      <c r="F4" s="103"/>
      <c r="G4" s="103"/>
      <c r="H4" s="100">
        <f>SUM(B4:G4)</f>
        <v>0</v>
      </c>
    </row>
    <row r="6" spans="1:10" ht="14.4">
      <c r="A6"/>
      <c r="B6"/>
      <c r="C6"/>
      <c r="D6"/>
      <c r="E6"/>
      <c r="F6"/>
      <c r="G6"/>
      <c r="H6"/>
      <c r="I6"/>
      <c r="J6"/>
    </row>
    <row r="7" spans="1:10" ht="14.4">
      <c r="A7"/>
      <c r="B7"/>
      <c r="C7"/>
      <c r="D7"/>
      <c r="E7"/>
      <c r="F7"/>
      <c r="G7"/>
      <c r="H7"/>
      <c r="I7"/>
      <c r="J7"/>
    </row>
    <row r="8" spans="1:10" ht="14.4">
      <c r="A8"/>
      <c r="B8"/>
      <c r="C8"/>
      <c r="D8"/>
      <c r="E8"/>
      <c r="F8"/>
      <c r="G8"/>
      <c r="H8"/>
      <c r="I8"/>
      <c r="J8"/>
    </row>
    <row r="9" spans="1:10" ht="14.4">
      <c r="A9"/>
      <c r="B9"/>
      <c r="C9"/>
      <c r="D9"/>
      <c r="E9"/>
      <c r="F9"/>
      <c r="G9"/>
      <c r="H9"/>
      <c r="I9"/>
      <c r="J9"/>
    </row>
    <row r="10" spans="1:10" ht="14.4">
      <c r="A10"/>
      <c r="B10"/>
      <c r="C10"/>
      <c r="D10"/>
      <c r="E10"/>
      <c r="F10"/>
      <c r="G10"/>
      <c r="H10"/>
      <c r="I10"/>
      <c r="J10"/>
    </row>
    <row r="11" spans="1:10" ht="14.4">
      <c r="A11"/>
      <c r="B11"/>
      <c r="C11"/>
      <c r="D11"/>
      <c r="E11"/>
      <c r="F11"/>
      <c r="G11"/>
      <c r="H11"/>
      <c r="I11"/>
      <c r="J11"/>
    </row>
    <row r="12" spans="1:10" ht="14.4">
      <c r="A12"/>
      <c r="B12"/>
      <c r="C12"/>
      <c r="D12"/>
      <c r="E12"/>
      <c r="F12"/>
      <c r="G12"/>
      <c r="H12"/>
      <c r="I12"/>
      <c r="J12"/>
    </row>
    <row r="13" spans="1:10" ht="14.4">
      <c r="A13"/>
      <c r="B13"/>
      <c r="C13"/>
      <c r="D13"/>
      <c r="E13"/>
      <c r="F13"/>
      <c r="G13"/>
      <c r="H13"/>
      <c r="I13"/>
      <c r="J13"/>
    </row>
    <row r="14" spans="1:10" ht="14.4">
      <c r="A14"/>
      <c r="B14"/>
      <c r="C14"/>
      <c r="D14"/>
      <c r="E14"/>
      <c r="F14"/>
      <c r="G14"/>
      <c r="H14"/>
      <c r="I14"/>
      <c r="J14"/>
    </row>
    <row r="15" spans="1:10" ht="14.4">
      <c r="A15"/>
      <c r="B15"/>
      <c r="C15"/>
      <c r="D15"/>
      <c r="E15"/>
      <c r="F15"/>
      <c r="G15"/>
      <c r="H15"/>
      <c r="I15"/>
      <c r="J15"/>
    </row>
    <row r="16" spans="1:10" ht="14.4">
      <c r="A16"/>
      <c r="B16"/>
      <c r="C16"/>
      <c r="D16"/>
      <c r="E16"/>
      <c r="F16"/>
      <c r="G16"/>
      <c r="H16"/>
      <c r="I16"/>
      <c r="J16"/>
    </row>
    <row r="17" spans="1:10" ht="14.4">
      <c r="A17"/>
      <c r="B17"/>
      <c r="C17"/>
      <c r="D17"/>
      <c r="E17"/>
      <c r="F17"/>
      <c r="G17"/>
      <c r="H17"/>
      <c r="I17"/>
      <c r="J17"/>
    </row>
    <row r="18" spans="1:10" ht="14.4">
      <c r="A18"/>
      <c r="B18"/>
      <c r="C18"/>
      <c r="D18"/>
      <c r="E18"/>
      <c r="F18"/>
      <c r="G18"/>
      <c r="H18"/>
      <c r="I18"/>
      <c r="J18"/>
    </row>
    <row r="19" spans="1:10" ht="14.4">
      <c r="A19"/>
      <c r="B19"/>
      <c r="C19"/>
      <c r="D19"/>
      <c r="E19"/>
      <c r="F19"/>
      <c r="G19"/>
      <c r="H19"/>
      <c r="I19"/>
      <c r="J19"/>
    </row>
    <row r="20" spans="1:10" ht="14.4">
      <c r="A20"/>
      <c r="B20"/>
      <c r="C20"/>
      <c r="D20"/>
      <c r="E20"/>
      <c r="F20"/>
      <c r="G20"/>
      <c r="H20"/>
      <c r="I20"/>
      <c r="J20"/>
    </row>
    <row r="21" spans="1:10" ht="15.75" customHeight="1">
      <c r="A21"/>
      <c r="B21"/>
      <c r="C21"/>
      <c r="D21"/>
      <c r="E21"/>
      <c r="F21"/>
      <c r="G21"/>
      <c r="H21"/>
      <c r="I21"/>
      <c r="J21"/>
    </row>
    <row r="22" spans="1:10" ht="15.75" customHeight="1">
      <c r="A22"/>
      <c r="B22"/>
      <c r="C22"/>
      <c r="D22"/>
      <c r="E22"/>
      <c r="F22"/>
      <c r="G22"/>
      <c r="H22"/>
      <c r="I22"/>
      <c r="J22"/>
    </row>
    <row r="23" spans="1:10" ht="15.75" customHeight="1">
      <c r="A23"/>
      <c r="B23"/>
      <c r="C23"/>
      <c r="D23"/>
      <c r="E23"/>
      <c r="F23"/>
      <c r="G23"/>
      <c r="H23"/>
      <c r="I23"/>
      <c r="J23"/>
    </row>
    <row r="24" spans="1:10" ht="15.75" customHeight="1">
      <c r="A24"/>
      <c r="B24"/>
      <c r="C24"/>
      <c r="D24"/>
      <c r="E24"/>
      <c r="F24"/>
      <c r="G24"/>
      <c r="H24"/>
      <c r="I24"/>
      <c r="J24"/>
    </row>
    <row r="25" spans="1:10" ht="15.75" customHeight="1">
      <c r="A25"/>
      <c r="B25"/>
      <c r="C25"/>
      <c r="D25"/>
      <c r="E25"/>
      <c r="F25"/>
      <c r="G25"/>
      <c r="H25"/>
      <c r="I25"/>
      <c r="J25"/>
    </row>
    <row r="26" spans="1:10" ht="15.75" customHeight="1">
      <c r="A26"/>
      <c r="B26"/>
      <c r="C26"/>
      <c r="D26"/>
      <c r="E26"/>
      <c r="F26"/>
      <c r="G26"/>
      <c r="H26"/>
      <c r="I26"/>
      <c r="J26"/>
    </row>
    <row r="27" spans="1:10" ht="15.75" customHeight="1">
      <c r="A27"/>
      <c r="B27"/>
      <c r="C27"/>
      <c r="D27"/>
      <c r="E27"/>
      <c r="F27"/>
      <c r="G27"/>
      <c r="H27"/>
      <c r="I27"/>
      <c r="J27"/>
    </row>
    <row r="28" spans="1:10" ht="15.75" customHeight="1">
      <c r="A28"/>
      <c r="B28"/>
      <c r="C28"/>
      <c r="D28"/>
      <c r="E28"/>
      <c r="F28"/>
      <c r="G28"/>
      <c r="H28"/>
      <c r="I28"/>
      <c r="J28"/>
    </row>
    <row r="29" spans="1:10" ht="15.75" customHeight="1">
      <c r="A29"/>
      <c r="B29"/>
      <c r="C29"/>
      <c r="D29"/>
      <c r="E29"/>
      <c r="F29"/>
      <c r="G29"/>
      <c r="H29"/>
      <c r="I29"/>
      <c r="J29"/>
    </row>
    <row r="30" spans="1:10" ht="15.75" customHeight="1">
      <c r="A30"/>
      <c r="B30"/>
      <c r="C30"/>
      <c r="D30"/>
      <c r="E30"/>
      <c r="F30"/>
      <c r="G30"/>
      <c r="H30"/>
      <c r="I30"/>
      <c r="J30"/>
    </row>
    <row r="31" spans="1:10" ht="15.75" customHeight="1">
      <c r="A31"/>
      <c r="B31"/>
      <c r="C31"/>
      <c r="D31"/>
      <c r="E31"/>
      <c r="F31"/>
      <c r="G31"/>
      <c r="H31"/>
      <c r="I31"/>
      <c r="J31"/>
    </row>
    <row r="32" spans="1:10" ht="15.75" customHeight="1">
      <c r="A32"/>
      <c r="B32"/>
      <c r="C32"/>
      <c r="D32"/>
      <c r="E32"/>
      <c r="F32"/>
      <c r="G32"/>
      <c r="H32"/>
      <c r="I32"/>
      <c r="J32"/>
    </row>
    <row r="33" spans="1:10" ht="15.75" customHeight="1">
      <c r="A33"/>
      <c r="B33"/>
      <c r="C33"/>
      <c r="D33"/>
      <c r="E33"/>
      <c r="F33"/>
      <c r="G33"/>
      <c r="H33"/>
      <c r="I33"/>
      <c r="J33"/>
    </row>
    <row r="34" spans="1:10" ht="15.75" customHeight="1">
      <c r="A34"/>
      <c r="B34"/>
      <c r="C34"/>
      <c r="D34"/>
      <c r="E34"/>
      <c r="F34"/>
      <c r="G34"/>
      <c r="H34"/>
      <c r="I34"/>
      <c r="J34"/>
    </row>
    <row r="35" spans="1:10" ht="15.75" customHeight="1">
      <c r="A35"/>
      <c r="B35"/>
      <c r="C35"/>
      <c r="D35"/>
      <c r="E35"/>
      <c r="F35"/>
      <c r="G35"/>
      <c r="H35"/>
      <c r="I35"/>
      <c r="J35"/>
    </row>
    <row r="36" spans="1:10" ht="15.75" customHeight="1">
      <c r="A36"/>
      <c r="B36"/>
      <c r="C36"/>
      <c r="D36"/>
      <c r="E36"/>
      <c r="F36"/>
      <c r="G36"/>
      <c r="H36"/>
      <c r="I36"/>
      <c r="J36"/>
    </row>
    <row r="37" spans="1:10" ht="15.75" customHeight="1">
      <c r="A37"/>
      <c r="B37"/>
      <c r="C37"/>
      <c r="D37"/>
      <c r="E37"/>
      <c r="F37"/>
      <c r="G37"/>
      <c r="H37"/>
      <c r="I37"/>
      <c r="J37"/>
    </row>
    <row r="38" spans="1:10" ht="15.75" customHeight="1">
      <c r="A38"/>
      <c r="B38"/>
      <c r="C38"/>
      <c r="D38"/>
      <c r="E38"/>
      <c r="F38"/>
      <c r="G38"/>
      <c r="H38"/>
      <c r="I38"/>
      <c r="J38"/>
    </row>
    <row r="39" spans="1:10" ht="15.75" customHeight="1">
      <c r="A39"/>
      <c r="B39"/>
      <c r="C39"/>
      <c r="D39"/>
      <c r="E39"/>
      <c r="F39"/>
      <c r="G39"/>
      <c r="H39"/>
      <c r="I39"/>
      <c r="J39"/>
    </row>
    <row r="40" spans="1:10" ht="15.75" customHeight="1">
      <c r="A40"/>
      <c r="B40"/>
      <c r="C40"/>
      <c r="D40"/>
      <c r="E40"/>
      <c r="F40"/>
      <c r="G40"/>
      <c r="H40"/>
      <c r="I40"/>
      <c r="J40"/>
    </row>
    <row r="41" spans="1:10" ht="15.75" customHeight="1">
      <c r="A41"/>
      <c r="B41"/>
      <c r="C41"/>
      <c r="D41"/>
      <c r="E41"/>
      <c r="F41"/>
      <c r="G41"/>
      <c r="H41"/>
      <c r="I41"/>
      <c r="J41"/>
    </row>
    <row r="42" spans="1:10" ht="15.75" customHeight="1">
      <c r="A42"/>
      <c r="B42"/>
      <c r="C42"/>
      <c r="D42"/>
      <c r="E42"/>
      <c r="F42"/>
      <c r="G42"/>
      <c r="H42"/>
      <c r="I42"/>
      <c r="J42"/>
    </row>
    <row r="43" spans="1:10" ht="15.75" customHeight="1">
      <c r="A43"/>
      <c r="B43"/>
      <c r="C43"/>
      <c r="D43"/>
      <c r="E43"/>
      <c r="F43"/>
      <c r="G43"/>
      <c r="H43"/>
      <c r="I43"/>
      <c r="J43"/>
    </row>
    <row r="44" spans="1:10" ht="15.75" customHeight="1">
      <c r="A44"/>
      <c r="B44"/>
      <c r="C44"/>
      <c r="D44"/>
      <c r="E44"/>
      <c r="F44"/>
      <c r="G44"/>
      <c r="H44"/>
      <c r="I44"/>
      <c r="J44"/>
    </row>
    <row r="45" spans="1:10" ht="15.75" customHeight="1">
      <c r="A45"/>
      <c r="B45"/>
      <c r="C45"/>
      <c r="D45"/>
      <c r="E45"/>
      <c r="F45"/>
      <c r="G45"/>
      <c r="H45"/>
      <c r="I45"/>
      <c r="J45"/>
    </row>
    <row r="46" spans="1:10" ht="15.75" customHeight="1">
      <c r="A46"/>
      <c r="B46"/>
      <c r="C46"/>
      <c r="D46"/>
      <c r="E46"/>
      <c r="F46"/>
      <c r="G46"/>
      <c r="H46"/>
      <c r="I46"/>
      <c r="J46"/>
    </row>
    <row r="47" spans="1:10" ht="15.75" customHeight="1">
      <c r="A47"/>
      <c r="B47"/>
      <c r="C47"/>
      <c r="D47"/>
      <c r="E47"/>
      <c r="F47"/>
      <c r="G47"/>
      <c r="H47"/>
      <c r="I47"/>
      <c r="J47"/>
    </row>
    <row r="48" spans="1:10" ht="15.75" customHeight="1">
      <c r="A48"/>
      <c r="B48"/>
      <c r="C48"/>
      <c r="D48"/>
      <c r="E48"/>
      <c r="F48"/>
      <c r="G48"/>
      <c r="H48"/>
      <c r="I48"/>
      <c r="J48"/>
    </row>
    <row r="49" spans="1:10" ht="15.75" customHeight="1">
      <c r="A49"/>
      <c r="B49"/>
      <c r="C49"/>
      <c r="D49"/>
      <c r="E49"/>
      <c r="F49"/>
      <c r="G49"/>
      <c r="H49"/>
      <c r="I49"/>
      <c r="J49"/>
    </row>
    <row r="50" spans="1:10" ht="15.75" customHeight="1">
      <c r="A50"/>
      <c r="B50"/>
      <c r="C50"/>
      <c r="D50"/>
      <c r="E50"/>
      <c r="F50"/>
      <c r="G50"/>
      <c r="H50"/>
      <c r="I50"/>
      <c r="J50"/>
    </row>
    <row r="51" spans="1:10" ht="15.75" customHeight="1">
      <c r="A51"/>
      <c r="B51"/>
      <c r="C51"/>
      <c r="D51"/>
      <c r="E51"/>
      <c r="F51"/>
      <c r="G51"/>
      <c r="H51"/>
      <c r="I51"/>
      <c r="J51"/>
    </row>
    <row r="52" spans="1:10" ht="15.75" customHeight="1">
      <c r="A52"/>
      <c r="B52"/>
      <c r="C52"/>
      <c r="D52"/>
      <c r="E52"/>
      <c r="F52"/>
      <c r="G52"/>
      <c r="H52"/>
      <c r="I52"/>
      <c r="J52"/>
    </row>
    <row r="53" spans="1:10" ht="15.75" customHeight="1">
      <c r="A53"/>
      <c r="B53"/>
      <c r="C53"/>
      <c r="D53"/>
      <c r="E53"/>
      <c r="F53"/>
      <c r="G53"/>
      <c r="H53"/>
      <c r="I53"/>
      <c r="J53"/>
    </row>
    <row r="54" spans="1:10" ht="15.75" customHeight="1">
      <c r="A54"/>
      <c r="B54"/>
      <c r="C54"/>
      <c r="D54"/>
      <c r="E54"/>
      <c r="F54"/>
      <c r="G54"/>
      <c r="H54"/>
      <c r="I54"/>
      <c r="J54"/>
    </row>
    <row r="55" spans="1:10" ht="15.75" customHeight="1">
      <c r="A55"/>
      <c r="B55"/>
      <c r="C55"/>
      <c r="D55"/>
      <c r="E55"/>
      <c r="F55"/>
      <c r="G55"/>
      <c r="H55"/>
      <c r="I55"/>
      <c r="J55"/>
    </row>
    <row r="56" spans="1:10" ht="15.75" customHeight="1">
      <c r="A56"/>
      <c r="B56"/>
      <c r="C56"/>
      <c r="D56"/>
      <c r="E56"/>
      <c r="F56"/>
      <c r="G56"/>
      <c r="H56"/>
      <c r="I56"/>
      <c r="J56"/>
    </row>
    <row r="57" spans="1:10" ht="15.75" customHeight="1">
      <c r="A57"/>
      <c r="B57"/>
      <c r="C57"/>
      <c r="D57"/>
      <c r="E57"/>
      <c r="F57"/>
      <c r="G57"/>
      <c r="H57"/>
      <c r="I57"/>
      <c r="J57"/>
    </row>
    <row r="58" spans="1:10" ht="15.75" customHeight="1">
      <c r="A58"/>
      <c r="B58"/>
      <c r="C58"/>
      <c r="D58"/>
      <c r="E58"/>
      <c r="F58"/>
      <c r="G58"/>
      <c r="H58"/>
      <c r="I58"/>
      <c r="J58"/>
    </row>
    <row r="59" spans="1:10" ht="15.75" customHeight="1">
      <c r="A59"/>
      <c r="B59"/>
      <c r="C59"/>
      <c r="D59"/>
      <c r="E59"/>
      <c r="F59"/>
      <c r="G59"/>
      <c r="H59"/>
      <c r="I59"/>
      <c r="J59"/>
    </row>
    <row r="60" spans="1:10" ht="15.75" customHeight="1">
      <c r="A60"/>
      <c r="B60"/>
      <c r="C60"/>
      <c r="D60"/>
      <c r="E60"/>
      <c r="F60"/>
      <c r="G60"/>
      <c r="H60"/>
      <c r="I60"/>
      <c r="J60"/>
    </row>
    <row r="61" spans="1:10" ht="15.75" customHeight="1">
      <c r="A61"/>
      <c r="B61"/>
      <c r="C61"/>
      <c r="D61"/>
      <c r="E61"/>
      <c r="F61"/>
      <c r="G61"/>
      <c r="H61"/>
      <c r="I61"/>
      <c r="J61"/>
    </row>
    <row r="62" spans="1:10" ht="15.75" customHeight="1">
      <c r="A62"/>
      <c r="B62"/>
      <c r="C62"/>
      <c r="D62"/>
      <c r="E62"/>
      <c r="F62"/>
      <c r="G62"/>
      <c r="H62"/>
      <c r="I62"/>
      <c r="J62"/>
    </row>
    <row r="63" spans="1:10" ht="15.75" customHeight="1">
      <c r="A63"/>
      <c r="B63"/>
      <c r="C63"/>
      <c r="D63"/>
      <c r="E63"/>
      <c r="F63"/>
      <c r="G63"/>
      <c r="H63"/>
      <c r="I63"/>
      <c r="J63"/>
    </row>
    <row r="64" spans="1:10" ht="15.75" customHeight="1">
      <c r="A64"/>
      <c r="B64"/>
      <c r="C64"/>
      <c r="D64"/>
      <c r="E64"/>
      <c r="F64"/>
      <c r="G64"/>
      <c r="H64"/>
      <c r="I64"/>
      <c r="J64"/>
    </row>
    <row r="65" spans="1:10" ht="15.75" customHeight="1">
      <c r="A65"/>
      <c r="B65"/>
      <c r="C65"/>
      <c r="D65"/>
      <c r="E65"/>
      <c r="F65"/>
      <c r="G65"/>
      <c r="H65"/>
      <c r="I65"/>
      <c r="J65"/>
    </row>
    <row r="66" spans="1:10" ht="15.75" customHeight="1">
      <c r="A66"/>
      <c r="B66"/>
      <c r="C66"/>
      <c r="D66"/>
      <c r="E66"/>
      <c r="F66"/>
      <c r="G66"/>
      <c r="H66"/>
      <c r="I66"/>
      <c r="J66"/>
    </row>
    <row r="67" spans="1:10" ht="15.75" customHeight="1">
      <c r="A67"/>
      <c r="B67"/>
      <c r="C67"/>
      <c r="D67"/>
      <c r="E67"/>
      <c r="F67"/>
      <c r="G67"/>
      <c r="H67"/>
      <c r="I67"/>
      <c r="J67"/>
    </row>
    <row r="68" spans="1:10" ht="15.75" customHeight="1">
      <c r="A68"/>
      <c r="B68"/>
      <c r="C68"/>
      <c r="D68"/>
      <c r="E68"/>
      <c r="F68"/>
      <c r="G68"/>
      <c r="H68"/>
      <c r="I68"/>
      <c r="J68"/>
    </row>
    <row r="69" spans="1:10" ht="15.75" customHeight="1">
      <c r="A69"/>
      <c r="B69"/>
      <c r="C69"/>
      <c r="D69"/>
      <c r="E69"/>
      <c r="F69"/>
      <c r="G69"/>
      <c r="H69"/>
      <c r="I69"/>
      <c r="J69"/>
    </row>
    <row r="70" spans="1:10" ht="15.75" customHeight="1">
      <c r="A70"/>
      <c r="B70"/>
      <c r="C70"/>
      <c r="D70"/>
      <c r="E70"/>
      <c r="F70"/>
      <c r="G70"/>
      <c r="H70"/>
      <c r="I70"/>
      <c r="J70"/>
    </row>
    <row r="71" spans="1:10" ht="15.75" customHeight="1">
      <c r="A71"/>
      <c r="B71"/>
      <c r="C71"/>
      <c r="D71"/>
      <c r="E71"/>
      <c r="F71"/>
      <c r="G71"/>
      <c r="H71"/>
      <c r="I71"/>
      <c r="J71"/>
    </row>
    <row r="72" spans="1:10" ht="15.75" customHeight="1"/>
    <row r="73" spans="1:10" ht="15.75" customHeight="1"/>
    <row r="74" spans="1:10" ht="15.75" customHeight="1"/>
    <row r="75" spans="1:10" ht="15.75" customHeight="1"/>
    <row r="76" spans="1:10" ht="15.75" customHeight="1"/>
    <row r="77" spans="1:10" ht="15.75" customHeight="1"/>
    <row r="78" spans="1:10" ht="15.75" customHeight="1"/>
    <row r="79" spans="1:10" ht="15.75" customHeight="1"/>
    <row r="80" spans="1:1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K988"/>
  <sheetViews>
    <sheetView workbookViewId="0">
      <selection activeCell="E12" sqref="E12"/>
    </sheetView>
  </sheetViews>
  <sheetFormatPr defaultColWidth="14.44140625" defaultRowHeight="15" customHeight="1"/>
  <cols>
    <col min="1" max="1" width="10.6640625" customWidth="1"/>
    <col min="2" max="2" width="25.5546875" customWidth="1"/>
    <col min="3" max="4" width="10.6640625" customWidth="1"/>
    <col min="5" max="5" width="20.88671875" bestFit="1" customWidth="1"/>
    <col min="6" max="10" width="10.6640625" customWidth="1"/>
    <col min="11" max="11" width="10.6640625" style="141" customWidth="1"/>
    <col min="12" max="25" width="10.6640625" customWidth="1"/>
  </cols>
  <sheetData>
    <row r="1" spans="1:11" ht="14.4">
      <c r="A1" s="53" t="s">
        <v>37</v>
      </c>
      <c r="B1" s="53" t="s">
        <v>3</v>
      </c>
      <c r="E1" s="105" t="s">
        <v>61</v>
      </c>
      <c r="H1" s="142" t="s">
        <v>4</v>
      </c>
      <c r="I1" s="142" t="s">
        <v>85</v>
      </c>
      <c r="J1" s="142" t="s">
        <v>86</v>
      </c>
    </row>
    <row r="2" spans="1:11" ht="14.4">
      <c r="A2" s="53">
        <f>ROW()-1</f>
        <v>1</v>
      </c>
      <c r="B2" s="7" t="s">
        <v>11</v>
      </c>
      <c r="E2" s="104" t="s">
        <v>62</v>
      </c>
      <c r="H2" s="142" t="str">
        <f>"Semana "&amp;WEEKNUM(I2,2)</f>
        <v>Semana 31</v>
      </c>
      <c r="I2" s="143">
        <v>46235</v>
      </c>
      <c r="J2" s="143">
        <v>46236</v>
      </c>
      <c r="K2" s="141">
        <v>46241</v>
      </c>
    </row>
    <row r="3" spans="1:11" ht="14.4">
      <c r="A3" s="53">
        <f>ROW()-1</f>
        <v>2</v>
      </c>
      <c r="B3" s="7" t="s">
        <v>96</v>
      </c>
      <c r="E3" s="104" t="s">
        <v>65</v>
      </c>
      <c r="H3" s="142" t="str">
        <f t="shared" ref="H3:H38" si="0">"Semana "&amp;WEEKNUM(I3,2)</f>
        <v>Semana 32</v>
      </c>
      <c r="I3" s="143">
        <v>46242</v>
      </c>
      <c r="J3" s="143">
        <v>46243</v>
      </c>
    </row>
    <row r="4" spans="1:11" ht="14.4">
      <c r="A4" s="53">
        <f>ROW()-1</f>
        <v>3</v>
      </c>
      <c r="B4" s="7" t="s">
        <v>33</v>
      </c>
      <c r="E4" s="104" t="s">
        <v>45</v>
      </c>
      <c r="H4" s="142" t="str">
        <f t="shared" si="0"/>
        <v>Semana 33</v>
      </c>
      <c r="I4" s="143">
        <v>46249</v>
      </c>
      <c r="J4" s="143">
        <v>46250</v>
      </c>
      <c r="K4" s="141">
        <v>46251</v>
      </c>
    </row>
    <row r="5" spans="1:11" ht="14.4">
      <c r="A5" s="53">
        <f>ROW()-1</f>
        <v>4</v>
      </c>
      <c r="B5" s="7" t="s">
        <v>12</v>
      </c>
      <c r="E5" s="104" t="s">
        <v>66</v>
      </c>
      <c r="H5" s="142" t="str">
        <f t="shared" si="0"/>
        <v>Semana 34</v>
      </c>
      <c r="I5" s="143">
        <v>46256</v>
      </c>
      <c r="J5" s="143">
        <v>46257</v>
      </c>
    </row>
    <row r="6" spans="1:11" ht="14.4">
      <c r="A6" s="53">
        <f>ROW()-1</f>
        <v>5</v>
      </c>
      <c r="B6" s="7" t="s">
        <v>97</v>
      </c>
      <c r="E6" s="158" t="s">
        <v>36</v>
      </c>
      <c r="H6" s="142" t="str">
        <f t="shared" si="0"/>
        <v>Semana 35</v>
      </c>
      <c r="I6" s="143">
        <v>46263</v>
      </c>
      <c r="J6" s="143">
        <v>46264</v>
      </c>
    </row>
    <row r="7" spans="1:11" ht="14.4">
      <c r="A7" s="53">
        <f>ROW()-1</f>
        <v>6</v>
      </c>
      <c r="B7" s="7" t="s">
        <v>10</v>
      </c>
      <c r="E7" s="104" t="s">
        <v>64</v>
      </c>
      <c r="H7" s="142" t="str">
        <f t="shared" si="0"/>
        <v>Semana 36</v>
      </c>
      <c r="I7" s="143">
        <v>46270</v>
      </c>
      <c r="J7" s="143">
        <v>46271</v>
      </c>
    </row>
    <row r="8" spans="1:11" ht="14.4">
      <c r="A8" s="53">
        <f>ROW()-1</f>
        <v>7</v>
      </c>
      <c r="B8" s="7" t="s">
        <v>9</v>
      </c>
      <c r="E8" s="104" t="s">
        <v>63</v>
      </c>
      <c r="H8" s="142" t="str">
        <f t="shared" si="0"/>
        <v>Semana 37</v>
      </c>
      <c r="I8" s="143">
        <v>46277</v>
      </c>
      <c r="J8" s="143">
        <v>46278</v>
      </c>
    </row>
    <row r="9" spans="1:11" ht="14.4">
      <c r="A9" s="53">
        <f>ROW()-1</f>
        <v>8</v>
      </c>
      <c r="B9" s="7" t="s">
        <v>38</v>
      </c>
      <c r="H9" s="142" t="str">
        <f t="shared" si="0"/>
        <v>Semana 38</v>
      </c>
      <c r="I9" s="143">
        <v>46284</v>
      </c>
      <c r="J9" s="143">
        <v>46285</v>
      </c>
    </row>
    <row r="10" spans="1:11" ht="14.4">
      <c r="A10" s="53">
        <f>ROW()-1</f>
        <v>9</v>
      </c>
      <c r="B10" s="7" t="s">
        <v>34</v>
      </c>
      <c r="H10" s="142" t="str">
        <f t="shared" si="0"/>
        <v>Semana 39</v>
      </c>
      <c r="I10" s="143">
        <v>46291</v>
      </c>
      <c r="J10" s="143">
        <v>46292</v>
      </c>
    </row>
    <row r="11" spans="1:11" ht="14.4">
      <c r="A11" s="53">
        <f>ROW()-1</f>
        <v>10</v>
      </c>
      <c r="B11" s="7" t="s">
        <v>44</v>
      </c>
      <c r="H11" s="142" t="str">
        <f t="shared" si="0"/>
        <v>Semana 40</v>
      </c>
      <c r="I11" s="143">
        <v>46298</v>
      </c>
      <c r="J11" s="143">
        <v>46299</v>
      </c>
    </row>
    <row r="12" spans="1:11" ht="15.75" customHeight="1">
      <c r="H12" s="142" t="str">
        <f t="shared" si="0"/>
        <v>Semana 1</v>
      </c>
      <c r="I12" s="143">
        <v>46389</v>
      </c>
      <c r="J12" s="143">
        <v>46390</v>
      </c>
    </row>
    <row r="13" spans="1:11" ht="15.75" customHeight="1">
      <c r="H13" s="142" t="str">
        <f t="shared" si="0"/>
        <v>Semana 2</v>
      </c>
      <c r="I13" s="143">
        <v>46396</v>
      </c>
      <c r="J13" s="143">
        <v>46397</v>
      </c>
    </row>
    <row r="14" spans="1:11" ht="15.75" customHeight="1">
      <c r="H14" s="142" t="str">
        <f t="shared" si="0"/>
        <v>Semana 3</v>
      </c>
      <c r="I14" s="143">
        <v>46403</v>
      </c>
      <c r="J14" s="143">
        <v>46404</v>
      </c>
    </row>
    <row r="15" spans="1:11" ht="15.75" customHeight="1">
      <c r="H15" s="142" t="str">
        <f t="shared" si="0"/>
        <v>Semana 4</v>
      </c>
      <c r="I15" s="143">
        <v>46410</v>
      </c>
      <c r="J15" s="143">
        <v>46411</v>
      </c>
    </row>
    <row r="16" spans="1:11" ht="15.75" customHeight="1">
      <c r="H16" s="142" t="str">
        <f t="shared" si="0"/>
        <v>Semana 5</v>
      </c>
      <c r="I16" s="143">
        <v>46417</v>
      </c>
      <c r="J16" s="143">
        <v>46418</v>
      </c>
      <c r="K16" s="141">
        <v>46388</v>
      </c>
    </row>
    <row r="17" spans="8:10" ht="15.75" customHeight="1">
      <c r="H17" s="142" t="str">
        <f t="shared" si="0"/>
        <v>Semana 6</v>
      </c>
      <c r="I17" s="143">
        <v>46424</v>
      </c>
      <c r="J17" s="143">
        <v>46425</v>
      </c>
    </row>
    <row r="18" spans="8:10" ht="15.75" customHeight="1">
      <c r="H18" s="142" t="str">
        <f t="shared" si="0"/>
        <v>Semana 7</v>
      </c>
      <c r="I18" s="143">
        <v>46431</v>
      </c>
      <c r="J18" s="143">
        <v>46432</v>
      </c>
    </row>
    <row r="19" spans="8:10" ht="15.75" customHeight="1">
      <c r="H19" s="142" t="str">
        <f t="shared" si="0"/>
        <v>Semana 8</v>
      </c>
      <c r="I19" s="143">
        <v>46438</v>
      </c>
      <c r="J19" s="143">
        <v>46439</v>
      </c>
    </row>
    <row r="20" spans="8:10" ht="15.75" customHeight="1">
      <c r="H20" s="142" t="str">
        <f t="shared" si="0"/>
        <v>Semana 9</v>
      </c>
      <c r="I20" s="143">
        <v>46445</v>
      </c>
      <c r="J20" s="143">
        <v>46446</v>
      </c>
    </row>
    <row r="21" spans="8:10" ht="15.75" customHeight="1">
      <c r="H21" s="142" t="str">
        <f t="shared" si="0"/>
        <v>Semana 10</v>
      </c>
      <c r="I21" s="143">
        <v>46452</v>
      </c>
      <c r="J21" s="143">
        <v>46453</v>
      </c>
    </row>
    <row r="22" spans="8:10" ht="15.75" customHeight="1">
      <c r="H22" s="142" t="str">
        <f t="shared" si="0"/>
        <v>Semana 11</v>
      </c>
      <c r="I22" s="143">
        <v>46459</v>
      </c>
      <c r="J22" s="143">
        <v>46460</v>
      </c>
    </row>
    <row r="23" spans="8:10" ht="15.75" customHeight="1">
      <c r="H23" s="142" t="str">
        <f t="shared" si="0"/>
        <v>Semana 12</v>
      </c>
      <c r="I23" s="143">
        <v>46466</v>
      </c>
      <c r="J23" s="143">
        <v>46467</v>
      </c>
    </row>
    <row r="24" spans="8:10" ht="15.75" customHeight="1">
      <c r="H24" s="142" t="str">
        <f t="shared" si="0"/>
        <v>Semana 13</v>
      </c>
      <c r="I24" s="143">
        <v>46473</v>
      </c>
      <c r="J24" s="143">
        <v>46474</v>
      </c>
    </row>
    <row r="25" spans="8:10" ht="15.75" customHeight="1">
      <c r="H25" s="142" t="str">
        <f t="shared" si="0"/>
        <v>Semana 14</v>
      </c>
      <c r="I25" s="143">
        <v>46480</v>
      </c>
      <c r="J25" s="143">
        <v>46481</v>
      </c>
    </row>
    <row r="26" spans="8:10" ht="15.75" customHeight="1">
      <c r="H26" s="142" t="str">
        <f t="shared" si="0"/>
        <v>Semana 15</v>
      </c>
      <c r="I26" s="143">
        <v>46487</v>
      </c>
      <c r="J26" s="143">
        <v>46488</v>
      </c>
    </row>
    <row r="27" spans="8:10" ht="15.75" customHeight="1">
      <c r="H27" s="142" t="str">
        <f t="shared" si="0"/>
        <v>Semana 16</v>
      </c>
      <c r="I27" s="143">
        <v>46494</v>
      </c>
      <c r="J27" s="143">
        <v>46495</v>
      </c>
    </row>
    <row r="28" spans="8:10" ht="15.75" customHeight="1">
      <c r="H28" s="142" t="str">
        <f t="shared" si="0"/>
        <v>Semana 17</v>
      </c>
      <c r="I28" s="143">
        <v>46501</v>
      </c>
      <c r="J28" s="143">
        <v>46502</v>
      </c>
    </row>
    <row r="29" spans="8:10" ht="15.75" customHeight="1">
      <c r="H29" s="142" t="str">
        <f t="shared" si="0"/>
        <v>Semana 18</v>
      </c>
      <c r="I29" s="143">
        <v>46508</v>
      </c>
      <c r="J29" s="143">
        <v>46509</v>
      </c>
    </row>
    <row r="30" spans="8:10" ht="15.75" customHeight="1">
      <c r="H30" s="142" t="str">
        <f t="shared" si="0"/>
        <v>Semana 19</v>
      </c>
      <c r="I30" s="143">
        <v>46515</v>
      </c>
      <c r="J30" s="143">
        <v>46516</v>
      </c>
    </row>
    <row r="31" spans="8:10" ht="15.75" customHeight="1">
      <c r="H31" s="142" t="str">
        <f t="shared" si="0"/>
        <v>Semana 20</v>
      </c>
      <c r="I31" s="143">
        <v>46522</v>
      </c>
      <c r="J31" s="143">
        <v>46523</v>
      </c>
    </row>
    <row r="32" spans="8:10" ht="15.75" customHeight="1">
      <c r="H32" s="142" t="str">
        <f t="shared" si="0"/>
        <v>Semana 21</v>
      </c>
      <c r="I32" s="143">
        <v>46529</v>
      </c>
      <c r="J32" s="143">
        <v>46530</v>
      </c>
    </row>
    <row r="33" spans="8:10" ht="15.75" customHeight="1">
      <c r="H33" s="142" t="str">
        <f t="shared" si="0"/>
        <v>Semana 22</v>
      </c>
      <c r="I33" s="143">
        <v>46536</v>
      </c>
      <c r="J33" s="143">
        <v>46537</v>
      </c>
    </row>
    <row r="34" spans="8:10" ht="15.75" customHeight="1">
      <c r="H34" s="142" t="str">
        <f t="shared" si="0"/>
        <v>Semana 23</v>
      </c>
      <c r="I34" s="143">
        <v>46543</v>
      </c>
      <c r="J34" s="143">
        <v>46544</v>
      </c>
    </row>
    <row r="35" spans="8:10" ht="15.75" customHeight="1">
      <c r="H35" s="142" t="str">
        <f t="shared" si="0"/>
        <v>Semana 24</v>
      </c>
      <c r="I35" s="143">
        <v>46550</v>
      </c>
      <c r="J35" s="143">
        <v>46551</v>
      </c>
    </row>
    <row r="36" spans="8:10" ht="15.75" customHeight="1">
      <c r="H36" s="142" t="str">
        <f t="shared" si="0"/>
        <v>Semana 25</v>
      </c>
      <c r="I36" s="143">
        <v>46557</v>
      </c>
      <c r="J36" s="143">
        <v>46558</v>
      </c>
    </row>
    <row r="37" spans="8:10" ht="15.75" customHeight="1">
      <c r="H37" s="142" t="str">
        <f t="shared" si="0"/>
        <v>Semana 26</v>
      </c>
      <c r="I37" s="143">
        <v>46564</v>
      </c>
      <c r="J37" s="143">
        <v>46565</v>
      </c>
    </row>
    <row r="38" spans="8:10" ht="15.75" customHeight="1">
      <c r="H38" s="142" t="str">
        <f t="shared" si="0"/>
        <v>Semana 27</v>
      </c>
      <c r="I38" s="143">
        <v>46571</v>
      </c>
      <c r="J38" s="143">
        <v>46572</v>
      </c>
    </row>
    <row r="39" spans="8:10" ht="15.75" customHeight="1"/>
    <row r="40" spans="8:10" ht="15.75" customHeight="1"/>
    <row r="41" spans="8:10" ht="15.75" customHeight="1"/>
    <row r="42" spans="8:10" ht="15.75" customHeight="1"/>
    <row r="43" spans="8:10" ht="15.75" customHeight="1"/>
    <row r="44" spans="8:10" ht="15.75" customHeight="1"/>
    <row r="45" spans="8:10" ht="15.75" customHeight="1"/>
    <row r="46" spans="8:10" ht="15.75" customHeight="1"/>
    <row r="47" spans="8:10" ht="15.75" customHeight="1"/>
    <row r="48" spans="8:10"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sheetData>
  <autoFilter ref="A1:B1" xr:uid="{00000000-0009-0000-0000-000007000000}">
    <sortState xmlns:xlrd2="http://schemas.microsoft.com/office/spreadsheetml/2017/richdata2" ref="A2:B23">
      <sortCondition ref="B1"/>
    </sortState>
  </autoFilter>
  <sortState xmlns:xlrd2="http://schemas.microsoft.com/office/spreadsheetml/2017/richdata2" ref="E2:E7">
    <sortCondition ref="E2"/>
  </sortState>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Pagos</vt:lpstr>
      <vt:lpstr>Pago_Equ_Insc</vt:lpstr>
      <vt:lpstr>Extracto</vt:lpstr>
      <vt:lpstr>Recibo</vt:lpstr>
      <vt:lpstr>Sheet1</vt:lpstr>
      <vt:lpstr>Pagos Totales</vt:lpstr>
      <vt:lpstr>Mesa</vt:lpstr>
      <vt:lpstr>Proyecion Ter Torneo</vt:lpstr>
      <vt:lpstr>Datos</vt:lpstr>
      <vt:lpstr>Conceptos</vt:lpstr>
      <vt:lpstr>Equipo</vt:lpstr>
      <vt:lpstr>Semanas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PC-16</dc:creator>
  <cp:lastModifiedBy>anibal bolivar</cp:lastModifiedBy>
  <dcterms:created xsi:type="dcterms:W3CDTF">2022-07-28T14:45:50Z</dcterms:created>
  <dcterms:modified xsi:type="dcterms:W3CDTF">2026-08-03T03:54:35Z</dcterms:modified>
</cp:coreProperties>
</file>